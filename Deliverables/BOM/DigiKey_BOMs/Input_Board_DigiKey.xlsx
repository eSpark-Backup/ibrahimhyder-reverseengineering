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4131"/>
  <workbookPr/>
  <mc:AlternateContent xmlns:mc="http://schemas.openxmlformats.org/markup-compatibility/2006">
    <mc:Choice Requires="x15">
      <x15ac:absPath xmlns:x15ac="http://schemas.microsoft.com/office/spreadsheetml/2010/11/ac" url="D:\eSpark\IbrahimHyder-ReverseEngineering\Deliverables\BOM\DigiKey_BOMs\"/>
    </mc:Choice>
  </mc:AlternateContent>
  <xr:revisionPtr revIDLastSave="0" documentId="13_ncr:1_{5E5E3317-9A69-4CB8-B248-A86DA3FFC7FC}" xr6:coauthVersionLast="47" xr6:coauthVersionMax="47" xr10:uidLastSave="{00000000-0000-0000-0000-000000000000}"/>
  <bookViews>
    <workbookView xWindow="-120" yWindow="-120" windowWidth="20730" windowHeight="11160" xr2:uid="{00000000-000D-0000-FFFF-FFFF00000000}"/>
  </bookViews>
  <sheets>
    <sheet name="SM_Bottom_Board" sheetId="1" r:id="rId1"/>
  </sheets>
  <definedNames>
    <definedName name="_xlnm.Print_Titles" localSheetId="0">SM_Bottom_Board!#REF!</definedName>
  </definedNames>
  <calcPr calcId="19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V4" i="1" l="1"/>
  <c r="V5" i="1" s="1"/>
  <c r="T4" i="1"/>
  <c r="R4" i="1"/>
  <c r="R5" i="1" s="1"/>
  <c r="P4" i="1"/>
  <c r="P3" i="1"/>
  <c r="T5" i="1"/>
  <c r="V3" i="1"/>
  <c r="T3" i="1"/>
  <c r="R3" i="1"/>
  <c r="M4" i="1"/>
  <c r="L4" i="1"/>
  <c r="M3" i="1"/>
  <c r="L3" i="1"/>
  <c r="K4" i="1" l="1"/>
  <c r="K3" i="1"/>
  <c r="R6" i="1" s="1"/>
  <c r="P6" i="1" l="1"/>
</calcChain>
</file>

<file path=xl/sharedStrings.xml><?xml version="1.0" encoding="utf-8"?>
<sst xmlns="http://schemas.openxmlformats.org/spreadsheetml/2006/main" count="45" uniqueCount="41">
  <si>
    <t>Description</t>
  </si>
  <si>
    <t>Designator</t>
  </si>
  <si>
    <t>Manufacturer</t>
  </si>
  <si>
    <t>S. No.</t>
  </si>
  <si>
    <t>Components</t>
  </si>
  <si>
    <t>Footprint (Package)</t>
  </si>
  <si>
    <t>Alternate</t>
  </si>
  <si>
    <t>Value</t>
  </si>
  <si>
    <t>Quantity (Per Board)</t>
  </si>
  <si>
    <t>Quantity 5</t>
  </si>
  <si>
    <t>DigiKey Link</t>
  </si>
  <si>
    <t>Unit Cost(1)</t>
  </si>
  <si>
    <t>Total Cost(1)</t>
  </si>
  <si>
    <t>Unit Cost (5 Boards)</t>
  </si>
  <si>
    <t>Total Cost (5)</t>
  </si>
  <si>
    <t>Remarks</t>
  </si>
  <si>
    <t>Bill of Material (BOM) for Cole Benson</t>
  </si>
  <si>
    <t>Connectors</t>
  </si>
  <si>
    <t xml:space="preserve">Total Component Cost </t>
  </si>
  <si>
    <t>Single Board Cost</t>
  </si>
  <si>
    <t>Conn Shrouded Header (4 Sides) HDR 2 POS 2mm Solder RA Thru-Hole Box</t>
  </si>
  <si>
    <t>J1, J3</t>
  </si>
  <si>
    <t>S2B-PH-K-S(LF)(SN)</t>
  </si>
  <si>
    <t>DC Power Receptacle Jack 2.5A 2.5mm 6.5mm SMD Power Connectors RoHS</t>
  </si>
  <si>
    <t>J2</t>
  </si>
  <si>
    <t>DC-005-5A-2.5-SMT</t>
  </si>
  <si>
    <t>Manufacturer Part No:</t>
  </si>
  <si>
    <t>JST</t>
  </si>
  <si>
    <t>XKB Enterprise</t>
  </si>
  <si>
    <t>-------------</t>
  </si>
  <si>
    <t>DigiKey</t>
  </si>
  <si>
    <t>Unit Cost(1000)</t>
  </si>
  <si>
    <t>Total Cost(1000)</t>
  </si>
  <si>
    <t>Unit Cost(5000)</t>
  </si>
  <si>
    <t>Total Cost(5000)</t>
  </si>
  <si>
    <t>Quantity 1000</t>
  </si>
  <si>
    <t>Quantity 5000</t>
  </si>
  <si>
    <t>Local Suplier</t>
  </si>
  <si>
    <t>part out of stock. Similar alternate has been suggested.</t>
  </si>
  <si>
    <t xml:space="preserve">	
440055-2</t>
  </si>
  <si>
    <t>Bill of Material (BOM) for Input Board (Ibrahim Design)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</si>
</sst>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3">
    <numFmt numFmtId="44" formatCode="_(&quot;$&quot;* #,##0.00_);_(&quot;$&quot;* \(#,##0.00\);_(&quot;$&quot;* &quot;-&quot;??_);_(@_)"/>
    <numFmt numFmtId="164" formatCode="&quot;$&quot;#,##0.00"/>
    <numFmt numFmtId="165" formatCode="&quot;$&quot;#,##0.000"/>
  </numFmts>
  <fonts count="10" x14ac:knownFonts="1">
    <font>
      <sz val="11"/>
      <color theme="1"/>
      <name val="Calibri"/>
      <family val="2"/>
      <scheme val="minor"/>
    </font>
    <font>
      <b/>
      <sz val="11"/>
      <color theme="0"/>
      <name val="Calibri"/>
      <family val="2"/>
      <scheme val="minor"/>
    </font>
    <font>
      <b/>
      <sz val="12"/>
      <color theme="0"/>
      <name val="Calibri"/>
      <family val="2"/>
      <scheme val="minor"/>
    </font>
    <font>
      <b/>
      <sz val="11"/>
      <color theme="1"/>
      <name val="Calibri"/>
      <family val="2"/>
      <scheme val="minor"/>
    </font>
    <font>
      <u/>
      <sz val="11"/>
      <color theme="10"/>
      <name val="Calibri"/>
      <family val="2"/>
      <scheme val="minor"/>
    </font>
    <font>
      <sz val="11"/>
      <color rgb="FF444444"/>
      <name val="Calibri"/>
      <family val="2"/>
      <scheme val="minor"/>
    </font>
    <font>
      <b/>
      <sz val="14"/>
      <name val="Calibri"/>
      <family val="2"/>
      <scheme val="minor"/>
    </font>
    <font>
      <sz val="10"/>
      <color theme="1"/>
      <name val="Calibri"/>
      <family val="2"/>
      <scheme val="minor"/>
    </font>
    <font>
      <sz val="8"/>
      <name val="Calibri"/>
      <family val="2"/>
      <scheme val="minor"/>
    </font>
    <font>
      <sz val="10"/>
      <name val="Calibri"/>
      <family val="2"/>
      <scheme val="minor"/>
    </font>
  </fonts>
  <fills count="4">
    <fill>
      <patternFill patternType="none"/>
    </fill>
    <fill>
      <patternFill patternType="gray125"/>
    </fill>
    <fill>
      <patternFill patternType="solid">
        <fgColor theme="0" tint="-0.499984740745262"/>
        <bgColor indexed="64"/>
      </patternFill>
    </fill>
    <fill>
      <patternFill patternType="solid">
        <fgColor theme="0"/>
        <bgColor indexed="64"/>
      </patternFill>
    </fill>
  </fills>
  <borders count="17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/>
      <right/>
      <top/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thin">
        <color indexed="64"/>
      </bottom>
      <diagonal/>
    </border>
    <border>
      <left style="thin">
        <color indexed="64"/>
      </left>
      <right/>
      <top style="medium">
        <color indexed="64"/>
      </top>
      <bottom style="thin">
        <color indexed="64"/>
      </bottom>
      <diagonal/>
    </border>
    <border>
      <left style="medium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 style="medium">
        <color indexed="64"/>
      </bottom>
      <diagonal/>
    </border>
    <border>
      <left style="thin">
        <color indexed="64"/>
      </left>
      <right style="thin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 style="thin">
        <color indexed="64"/>
      </top>
      <bottom style="medium">
        <color indexed="64"/>
      </bottom>
      <diagonal/>
    </border>
    <border>
      <left style="thin">
        <color indexed="64"/>
      </left>
      <right/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 style="medium">
        <color indexed="64"/>
      </right>
      <top style="thin">
        <color indexed="64"/>
      </top>
      <bottom style="medium">
        <color indexed="64"/>
      </bottom>
      <diagonal/>
    </border>
  </borders>
  <cellStyleXfs count="2">
    <xf numFmtId="0" fontId="0" fillId="0" borderId="0"/>
    <xf numFmtId="0" fontId="4" fillId="0" borderId="0" applyNumberFormat="0" applyFill="0" applyBorder="0" applyAlignment="0" applyProtection="0"/>
  </cellStyleXfs>
  <cellXfs count="42">
    <xf numFmtId="0" fontId="0" fillId="0" borderId="0" xfId="0"/>
    <xf numFmtId="0" fontId="1" fillId="2" borderId="1" xfId="0" applyFont="1" applyFill="1" applyBorder="1" applyAlignment="1">
      <alignment horizontal="center" vertical="center"/>
    </xf>
    <xf numFmtId="165" fontId="0" fillId="0" borderId="0" xfId="0" applyNumberFormat="1" applyFont="1" applyAlignment="1">
      <alignment horizontal="center" vertical="center"/>
    </xf>
    <xf numFmtId="165" fontId="0" fillId="0" borderId="0" xfId="0" applyNumberFormat="1"/>
    <xf numFmtId="164" fontId="0" fillId="0" borderId="0" xfId="0" applyNumberFormat="1"/>
    <xf numFmtId="0" fontId="1" fillId="2" borderId="5" xfId="0" applyFont="1" applyFill="1" applyBorder="1" applyAlignment="1">
      <alignment horizontal="center" vertical="center"/>
    </xf>
    <xf numFmtId="0" fontId="0" fillId="0" borderId="7" xfId="0" applyFont="1" applyBorder="1" applyAlignment="1">
      <alignment horizontal="center" vertical="center"/>
    </xf>
    <xf numFmtId="165" fontId="0" fillId="0" borderId="7" xfId="0" applyNumberFormat="1" applyFont="1" applyBorder="1" applyAlignment="1">
      <alignment horizontal="center" vertical="center"/>
    </xf>
    <xf numFmtId="0" fontId="0" fillId="0" borderId="8" xfId="0" applyFont="1" applyBorder="1" applyAlignment="1"/>
    <xf numFmtId="0" fontId="5" fillId="0" borderId="7" xfId="0" quotePrefix="1" applyFont="1" applyBorder="1" applyAlignment="1">
      <alignment horizontal="center"/>
    </xf>
    <xf numFmtId="165" fontId="0" fillId="0" borderId="9" xfId="0" applyNumberFormat="1" applyFont="1" applyBorder="1" applyAlignment="1">
      <alignment horizontal="center" vertical="center"/>
    </xf>
    <xf numFmtId="44" fontId="0" fillId="0" borderId="8" xfId="0" applyNumberFormat="1" applyFont="1" applyBorder="1" applyAlignment="1"/>
    <xf numFmtId="44" fontId="0" fillId="0" borderId="7" xfId="0" applyNumberFormat="1" applyFont="1" applyBorder="1" applyAlignment="1">
      <alignment horizontal="center" vertical="center"/>
    </xf>
    <xf numFmtId="44" fontId="0" fillId="0" borderId="9" xfId="0" applyNumberFormat="1" applyFont="1" applyBorder="1" applyAlignment="1">
      <alignment horizontal="center" vertical="center"/>
    </xf>
    <xf numFmtId="44" fontId="0" fillId="0" borderId="0" xfId="0" applyNumberFormat="1"/>
    <xf numFmtId="0" fontId="0" fillId="0" borderId="8" xfId="0" applyFont="1" applyBorder="1" applyAlignment="1">
      <alignment horizontal="center" vertical="center" wrapText="1"/>
    </xf>
    <xf numFmtId="0" fontId="9" fillId="0" borderId="7" xfId="0" quotePrefix="1" applyFont="1" applyBorder="1" applyAlignment="1">
      <alignment horizontal="center" wrapText="1"/>
    </xf>
    <xf numFmtId="0" fontId="4" fillId="0" borderId="7" xfId="1" applyBorder="1" applyAlignment="1">
      <alignment horizontal="center" vertical="center"/>
    </xf>
    <xf numFmtId="0" fontId="2" fillId="2" borderId="1" xfId="0" applyFont="1" applyFill="1" applyBorder="1" applyAlignment="1">
      <alignment horizontal="center" vertical="center"/>
    </xf>
    <xf numFmtId="0" fontId="2" fillId="2" borderId="2" xfId="0" applyFont="1" applyFill="1" applyBorder="1" applyAlignment="1">
      <alignment horizontal="center" vertical="center"/>
    </xf>
    <xf numFmtId="0" fontId="2" fillId="2" borderId="3" xfId="0" applyFont="1" applyFill="1" applyBorder="1" applyAlignment="1">
      <alignment horizontal="center" vertical="center"/>
    </xf>
    <xf numFmtId="0" fontId="6" fillId="3" borderId="4" xfId="0" applyFont="1" applyFill="1" applyBorder="1" applyAlignment="1">
      <alignment horizontal="center" wrapText="1"/>
    </xf>
    <xf numFmtId="0" fontId="6" fillId="3" borderId="0" xfId="0" applyFont="1" applyFill="1" applyBorder="1" applyAlignment="1">
      <alignment horizontal="center" wrapText="1"/>
    </xf>
    <xf numFmtId="0" fontId="3" fillId="0" borderId="6" xfId="0" applyFont="1" applyBorder="1" applyAlignment="1">
      <alignment horizontal="center" vertical="center"/>
    </xf>
    <xf numFmtId="0" fontId="7" fillId="0" borderId="7" xfId="0" quotePrefix="1" applyFont="1" applyBorder="1" applyAlignment="1">
      <alignment vertical="center" wrapText="1"/>
    </xf>
    <xf numFmtId="0" fontId="7" fillId="0" borderId="7" xfId="0" quotePrefix="1" applyFont="1" applyBorder="1" applyAlignment="1">
      <alignment horizontal="center" vertical="center" wrapText="1"/>
    </xf>
    <xf numFmtId="0" fontId="0" fillId="0" borderId="7" xfId="0" applyBorder="1" applyAlignment="1">
      <alignment horizontal="center" vertical="center" wrapText="1"/>
    </xf>
    <xf numFmtId="0" fontId="3" fillId="0" borderId="10" xfId="0" applyFont="1" applyBorder="1" applyAlignment="1">
      <alignment horizontal="center" vertical="center"/>
    </xf>
    <xf numFmtId="0" fontId="7" fillId="0" borderId="11" xfId="0" quotePrefix="1" applyFont="1" applyBorder="1" applyAlignment="1">
      <alignment vertical="center" wrapText="1"/>
    </xf>
    <xf numFmtId="0" fontId="7" fillId="0" borderId="11" xfId="0" quotePrefix="1" applyFont="1" applyBorder="1" applyAlignment="1">
      <alignment horizontal="center" vertical="center" wrapText="1"/>
    </xf>
    <xf numFmtId="0" fontId="5" fillId="0" borderId="12" xfId="0" quotePrefix="1" applyFont="1" applyBorder="1" applyAlignment="1">
      <alignment horizontal="center"/>
    </xf>
    <xf numFmtId="0" fontId="0" fillId="0" borderId="11" xfId="0" applyBorder="1" applyAlignment="1">
      <alignment horizontal="center" vertical="center" wrapText="1"/>
    </xf>
    <xf numFmtId="0" fontId="0" fillId="0" borderId="11" xfId="0" applyFont="1" applyBorder="1" applyAlignment="1">
      <alignment horizontal="center" vertical="center"/>
    </xf>
    <xf numFmtId="0" fontId="0" fillId="0" borderId="12" xfId="0" applyFont="1" applyBorder="1" applyAlignment="1">
      <alignment horizontal="center" vertical="center"/>
    </xf>
    <xf numFmtId="0" fontId="4" fillId="0" borderId="11" xfId="1" applyFont="1" applyBorder="1" applyAlignment="1">
      <alignment horizontal="center" vertical="center"/>
    </xf>
    <xf numFmtId="165" fontId="0" fillId="0" borderId="11" xfId="0" applyNumberFormat="1" applyFont="1" applyBorder="1" applyAlignment="1">
      <alignment horizontal="center" vertical="center"/>
    </xf>
    <xf numFmtId="44" fontId="0" fillId="0" borderId="12" xfId="0" applyNumberFormat="1" applyFont="1" applyBorder="1" applyAlignment="1">
      <alignment horizontal="center" vertical="center"/>
    </xf>
    <xf numFmtId="165" fontId="0" fillId="0" borderId="13" xfId="0" applyNumberFormat="1" applyFont="1" applyBorder="1" applyAlignment="1">
      <alignment horizontal="center" vertical="center"/>
    </xf>
    <xf numFmtId="44" fontId="0" fillId="0" borderId="14" xfId="0" applyNumberFormat="1" applyFont="1" applyBorder="1" applyAlignment="1">
      <alignment horizontal="center" vertical="center"/>
    </xf>
    <xf numFmtId="0" fontId="0" fillId="0" borderId="15" xfId="0" applyFont="1" applyBorder="1" applyAlignment="1"/>
    <xf numFmtId="44" fontId="0" fillId="0" borderId="15" xfId="0" applyNumberFormat="1" applyFont="1" applyBorder="1" applyAlignment="1"/>
    <xf numFmtId="0" fontId="0" fillId="0" borderId="16" xfId="0" applyFont="1" applyBorder="1" applyAlignment="1"/>
  </cellXfs>
  <cellStyles count="2">
    <cellStyle name="Hyperlink" xfId="1" builtinId="8"/>
    <cellStyle name="Normal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https://www.digikey.com/en/products/detail/te-connectivity-amp-connectors/440055-2/2077946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sheetPr>
    <pageSetUpPr fitToPage="1"/>
  </sheetPr>
  <dimension ref="A1:AN6"/>
  <sheetViews>
    <sheetView tabSelected="1" zoomScale="78" zoomScaleNormal="78" workbookViewId="0">
      <selection activeCell="O3" sqref="O3"/>
    </sheetView>
  </sheetViews>
  <sheetFormatPr defaultRowHeight="15" x14ac:dyDescent="0.25"/>
  <cols>
    <col min="1" max="1" width="6.140625" bestFit="1" customWidth="1"/>
    <col min="2" max="2" width="16.5703125" customWidth="1"/>
    <col min="3" max="3" width="73.5703125" bestFit="1" customWidth="1"/>
    <col min="4" max="4" width="28.140625" customWidth="1"/>
    <col min="5" max="5" width="25" customWidth="1"/>
    <col min="6" max="6" width="28" customWidth="1"/>
    <col min="7" max="7" width="19.85546875" bestFit="1" customWidth="1"/>
    <col min="8" max="8" width="18" bestFit="1" customWidth="1"/>
    <col min="9" max="9" width="22.42578125" bestFit="1" customWidth="1"/>
    <col min="10" max="10" width="19.42578125" bestFit="1" customWidth="1"/>
    <col min="11" max="11" width="13.42578125" bestFit="1" customWidth="1"/>
    <col min="12" max="13" width="13.42578125" customWidth="1"/>
    <col min="14" max="14" width="15.7109375" bestFit="1" customWidth="1"/>
    <col min="15" max="15" width="14.5703125" bestFit="1" customWidth="1"/>
    <col min="16" max="16" width="15.85546875" bestFit="1" customWidth="1"/>
    <col min="17" max="17" width="24.5703125" bestFit="1" customWidth="1"/>
    <col min="18" max="18" width="17.140625" bestFit="1" customWidth="1"/>
    <col min="19" max="19" width="17.140625" customWidth="1"/>
    <col min="20" max="20" width="18" customWidth="1"/>
    <col min="21" max="21" width="14.85546875" customWidth="1"/>
    <col min="22" max="22" width="19.5703125" customWidth="1"/>
    <col min="23" max="23" width="38.140625" customWidth="1"/>
  </cols>
  <sheetData>
    <row r="1" spans="1:40" ht="16.5" thickBot="1" x14ac:dyDescent="0.3">
      <c r="A1" s="18" t="s">
        <v>40</v>
      </c>
      <c r="B1" s="19"/>
      <c r="C1" s="19"/>
      <c r="D1" s="19"/>
      <c r="E1" s="19"/>
      <c r="F1" s="19"/>
      <c r="G1" s="19"/>
      <c r="H1" s="19"/>
      <c r="I1" s="19"/>
      <c r="J1" s="19"/>
      <c r="K1" s="19"/>
      <c r="L1" s="19"/>
      <c r="M1" s="19"/>
      <c r="N1" s="19"/>
      <c r="O1" s="19"/>
      <c r="P1" s="19"/>
      <c r="Q1" s="19"/>
      <c r="R1" s="19"/>
      <c r="S1" s="19"/>
      <c r="T1" s="19"/>
      <c r="U1" s="20"/>
      <c r="V1" s="18" t="s">
        <v>16</v>
      </c>
      <c r="W1" s="19"/>
      <c r="X1" s="19"/>
      <c r="Y1" s="19"/>
      <c r="Z1" s="19"/>
      <c r="AA1" s="19"/>
      <c r="AB1" s="19"/>
      <c r="AC1" s="19"/>
      <c r="AD1" s="19"/>
      <c r="AE1" s="19"/>
      <c r="AF1" s="19"/>
      <c r="AG1" s="19"/>
      <c r="AH1" s="19"/>
      <c r="AI1" s="19"/>
      <c r="AJ1" s="19"/>
      <c r="AK1" s="19"/>
      <c r="AL1" s="19"/>
      <c r="AM1" s="19"/>
      <c r="AN1" s="20"/>
    </row>
    <row r="2" spans="1:40" ht="15.75" thickBot="1" x14ac:dyDescent="0.3">
      <c r="A2" s="1" t="s">
        <v>3</v>
      </c>
      <c r="B2" s="5" t="s">
        <v>4</v>
      </c>
      <c r="C2" s="5" t="s">
        <v>0</v>
      </c>
      <c r="D2" s="5" t="s">
        <v>1</v>
      </c>
      <c r="E2" s="5" t="s">
        <v>5</v>
      </c>
      <c r="F2" s="5" t="s">
        <v>26</v>
      </c>
      <c r="G2" s="5" t="s">
        <v>2</v>
      </c>
      <c r="H2" s="5" t="s">
        <v>6</v>
      </c>
      <c r="I2" s="5" t="s">
        <v>7</v>
      </c>
      <c r="J2" s="5" t="s">
        <v>8</v>
      </c>
      <c r="K2" s="5" t="s">
        <v>9</v>
      </c>
      <c r="L2" s="5" t="s">
        <v>35</v>
      </c>
      <c r="M2" s="5" t="s">
        <v>36</v>
      </c>
      <c r="N2" s="5" t="s">
        <v>10</v>
      </c>
      <c r="O2" s="5" t="s">
        <v>11</v>
      </c>
      <c r="P2" s="5" t="s">
        <v>12</v>
      </c>
      <c r="Q2" s="5" t="s">
        <v>13</v>
      </c>
      <c r="R2" s="5" t="s">
        <v>14</v>
      </c>
      <c r="S2" s="5" t="s">
        <v>31</v>
      </c>
      <c r="T2" s="5" t="s">
        <v>32</v>
      </c>
      <c r="U2" s="5" t="s">
        <v>33</v>
      </c>
      <c r="V2" s="5" t="s">
        <v>34</v>
      </c>
      <c r="W2" s="5" t="s">
        <v>15</v>
      </c>
    </row>
    <row r="3" spans="1:40" ht="30.75" thickBot="1" x14ac:dyDescent="0.3">
      <c r="A3" s="1">
        <v>1</v>
      </c>
      <c r="B3" s="23" t="s">
        <v>17</v>
      </c>
      <c r="C3" s="24" t="s">
        <v>20</v>
      </c>
      <c r="D3" s="25" t="s">
        <v>21</v>
      </c>
      <c r="E3" s="25" t="s">
        <v>22</v>
      </c>
      <c r="F3" s="25" t="s">
        <v>22</v>
      </c>
      <c r="G3" s="24" t="s">
        <v>27</v>
      </c>
      <c r="H3" s="16" t="s">
        <v>39</v>
      </c>
      <c r="I3" s="9" t="s">
        <v>29</v>
      </c>
      <c r="J3" s="26">
        <v>2</v>
      </c>
      <c r="K3" s="6">
        <f>J3*5</f>
        <v>10</v>
      </c>
      <c r="L3" s="6">
        <f>J3*1000</f>
        <v>2000</v>
      </c>
      <c r="M3" s="6">
        <f>J3*5000</f>
        <v>10000</v>
      </c>
      <c r="N3" s="17" t="s">
        <v>30</v>
      </c>
      <c r="O3" s="7">
        <v>0.19</v>
      </c>
      <c r="P3" s="12">
        <f>O3*J3</f>
        <v>0.38</v>
      </c>
      <c r="Q3" s="7">
        <v>0.17599999999999999</v>
      </c>
      <c r="R3" s="12">
        <f>Q3*K3</f>
        <v>1.7599999999999998</v>
      </c>
      <c r="S3" s="10">
        <v>7.886E-2</v>
      </c>
      <c r="T3" s="13">
        <f>S3*L3</f>
        <v>157.72</v>
      </c>
      <c r="U3" s="8">
        <v>6.5720000000000001E-2</v>
      </c>
      <c r="V3" s="11">
        <f>U3*M3</f>
        <v>657.2</v>
      </c>
      <c r="W3" s="15" t="s">
        <v>38</v>
      </c>
    </row>
    <row r="4" spans="1:40" ht="15.75" thickBot="1" x14ac:dyDescent="0.3">
      <c r="A4" s="1">
        <v>2</v>
      </c>
      <c r="B4" s="27"/>
      <c r="C4" s="28" t="s">
        <v>23</v>
      </c>
      <c r="D4" s="29" t="s">
        <v>24</v>
      </c>
      <c r="E4" s="29" t="s">
        <v>25</v>
      </c>
      <c r="F4" s="29" t="s">
        <v>25</v>
      </c>
      <c r="G4" s="28" t="s">
        <v>28</v>
      </c>
      <c r="H4" s="30" t="s">
        <v>29</v>
      </c>
      <c r="I4" s="30" t="s">
        <v>29</v>
      </c>
      <c r="J4" s="31">
        <v>1</v>
      </c>
      <c r="K4" s="32">
        <f t="shared" ref="K4" si="0">J4*5</f>
        <v>5</v>
      </c>
      <c r="L4" s="33">
        <f>J4*1000</f>
        <v>1000</v>
      </c>
      <c r="M4" s="33">
        <f>J4*5000</f>
        <v>5000</v>
      </c>
      <c r="N4" s="34" t="s">
        <v>37</v>
      </c>
      <c r="O4" s="35">
        <v>0.58499999999999996</v>
      </c>
      <c r="P4" s="36">
        <f>O4*J4</f>
        <v>0.58499999999999996</v>
      </c>
      <c r="Q4" s="35">
        <v>0.53600000000000003</v>
      </c>
      <c r="R4" s="36">
        <f>Q4*K4</f>
        <v>2.68</v>
      </c>
      <c r="S4" s="37">
        <v>0.51</v>
      </c>
      <c r="T4" s="38">
        <f>S4*L4</f>
        <v>510</v>
      </c>
      <c r="U4" s="39">
        <v>6.5720000000000001E-2</v>
      </c>
      <c r="V4" s="40">
        <f>U4*M4</f>
        <v>328.6</v>
      </c>
      <c r="W4" s="41"/>
    </row>
    <row r="5" spans="1:40" ht="19.5" thickBot="1" x14ac:dyDescent="0.35">
      <c r="J5" s="21" t="s">
        <v>18</v>
      </c>
      <c r="K5" s="21"/>
      <c r="L5" s="21"/>
      <c r="M5" s="21"/>
      <c r="N5" s="21"/>
      <c r="O5" s="21"/>
      <c r="R5" s="3">
        <f>SUM(R3:R4)</f>
        <v>4.4399999999999995</v>
      </c>
      <c r="S5" s="3"/>
      <c r="T5" s="3">
        <f>SUM(T3:T4)</f>
        <v>667.72</v>
      </c>
      <c r="V5" s="14">
        <f>SUM(V3:V4)</f>
        <v>985.80000000000007</v>
      </c>
    </row>
    <row r="6" spans="1:40" ht="18.75" x14ac:dyDescent="0.3">
      <c r="J6" s="22" t="s">
        <v>19</v>
      </c>
      <c r="K6" s="22"/>
      <c r="L6" s="22"/>
      <c r="M6" s="22"/>
      <c r="N6" s="22"/>
      <c r="O6" s="22"/>
      <c r="P6" s="2">
        <f>SUM(P3:P4)</f>
        <v>0.96499999999999997</v>
      </c>
      <c r="R6" s="4">
        <f>R5/5</f>
        <v>0.8879999999999999</v>
      </c>
      <c r="S6" s="4"/>
      <c r="T6" s="4"/>
    </row>
  </sheetData>
  <mergeCells count="5">
    <mergeCell ref="V1:AN1"/>
    <mergeCell ref="J5:O5"/>
    <mergeCell ref="J6:O6"/>
    <mergeCell ref="A1:U1"/>
    <mergeCell ref="B3:B4"/>
  </mergeCells>
  <phoneticPr fontId="8" type="noConversion"/>
  <conditionalFormatting sqref="J3:M4">
    <cfRule type="colorScale" priority="7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P3:P4">
    <cfRule type="dataBar" priority="8">
      <dataBar>
        <cfvo type="min"/>
        <cfvo type="max"/>
        <color rgb="FF638EC6"/>
      </dataBar>
      <extLst>
        <ext xmlns:x14="http://schemas.microsoft.com/office/spreadsheetml/2009/9/main" uri="{B025F937-C7B1-47D3-B67F-A62EFF666E3E}">
          <x14:id>{31993F18-4C5F-4176-9D23-BFACE9C28768}</x14:id>
        </ext>
      </extLst>
    </cfRule>
  </conditionalFormatting>
  <conditionalFormatting sqref="P6:T6">
    <cfRule type="dataBar" priority="10">
      <dataBar>
        <cfvo type="min"/>
        <cfvo type="max"/>
        <color rgb="FF63C384"/>
      </dataBar>
      <extLst>
        <ext xmlns:x14="http://schemas.microsoft.com/office/spreadsheetml/2009/9/main" uri="{B025F937-C7B1-47D3-B67F-A62EFF666E3E}">
          <x14:id>{70EE1023-228D-423C-ADF5-29102BB53C0F}</x14:id>
        </ext>
      </extLst>
    </cfRule>
  </conditionalFormatting>
  <conditionalFormatting sqref="R3:T4">
    <cfRule type="dataBar" priority="11">
      <dataBar>
        <cfvo type="min"/>
        <cfvo type="max"/>
        <color rgb="FFFF555A"/>
      </dataBar>
      <extLst>
        <ext xmlns:x14="http://schemas.microsoft.com/office/spreadsheetml/2009/9/main" uri="{B025F937-C7B1-47D3-B67F-A62EFF666E3E}">
          <x14:id>{BC439CAB-0450-4930-B07F-0CD52FB2A12C}</x14:id>
        </ext>
      </extLst>
    </cfRule>
  </conditionalFormatting>
  <conditionalFormatting sqref="V3:V4">
    <cfRule type="colorScale" priority="2">
      <colorScale>
        <cfvo type="min"/>
        <cfvo type="percentile" val="50"/>
        <cfvo type="max"/>
        <color rgb="FF63BE7B"/>
        <color rgb="FFFFEB84"/>
        <color rgb="FFF8696B"/>
      </colorScale>
    </cfRule>
  </conditionalFormatting>
  <conditionalFormatting sqref="R3:R4">
    <cfRule type="colorScale" priority="1">
      <colorScale>
        <cfvo type="min"/>
        <cfvo type="percentile" val="50"/>
        <cfvo type="max"/>
        <color rgb="FF63BE7B"/>
        <color rgb="FFFFEB84"/>
        <color rgb="FFF8696B"/>
      </colorScale>
    </cfRule>
  </conditionalFormatting>
  <hyperlinks>
    <hyperlink ref="N3" r:id="rId1" xr:uid="{2C99B434-E647-41FF-A13E-715CF3A744A3}"/>
  </hyperlinks>
  <printOptions horizontalCentered="1" verticalCentered="1"/>
  <pageMargins left="0.30555555555555558" right="0.30555555555555558" top="0.30555555555555558" bottom="0.30555555555555558" header="0" footer="0"/>
  <pageSetup scale="39" orientation="landscape" blackAndWhite="1" r:id="rId2"/>
  <extLst>
    <ext xmlns:x14="http://schemas.microsoft.com/office/spreadsheetml/2009/9/main" uri="{78C0D931-6437-407d-A8EE-F0AAD7539E65}">
      <x14:conditionalFormattings>
        <x14:conditionalFormatting xmlns:xm="http://schemas.microsoft.com/office/excel/2006/main">
          <x14:cfRule type="dataBar" id="{31993F18-4C5F-4176-9D23-BFACE9C28768}">
            <x14:dataBar minLength="0" maxLength="100" border="1" negativeBarBorderColorSameAsPositive="0">
              <x14:cfvo type="autoMin"/>
              <x14:cfvo type="autoMax"/>
              <x14:borderColor rgb="FF638EC6"/>
              <x14:negativeFillColor rgb="FFFF0000"/>
              <x14:negativeBorderColor rgb="FFFF0000"/>
              <x14:axisColor rgb="FF000000"/>
            </x14:dataBar>
          </x14:cfRule>
          <xm:sqref>P3:P4</xm:sqref>
        </x14:conditionalFormatting>
        <x14:conditionalFormatting xmlns:xm="http://schemas.microsoft.com/office/excel/2006/main">
          <x14:cfRule type="dataBar" id="{70EE1023-228D-423C-ADF5-29102BB53C0F}">
            <x14:dataBar minLength="0" maxLength="100" border="1" negativeBarBorderColorSameAsPositive="0">
              <x14:cfvo type="autoMin"/>
              <x14:cfvo type="autoMax"/>
              <x14:borderColor rgb="FF63C384"/>
              <x14:negativeFillColor rgb="FFFF0000"/>
              <x14:negativeBorderColor rgb="FFFF0000"/>
              <x14:axisColor rgb="FF000000"/>
            </x14:dataBar>
          </x14:cfRule>
          <xm:sqref>P6:T6</xm:sqref>
        </x14:conditionalFormatting>
        <x14:conditionalFormatting xmlns:xm="http://schemas.microsoft.com/office/excel/2006/main">
          <x14:cfRule type="dataBar" id="{BC439CAB-0450-4930-B07F-0CD52FB2A12C}">
            <x14:dataBar minLength="0" maxLength="100" border="1" negativeBarBorderColorSameAsPositive="0">
              <x14:cfvo type="autoMin"/>
              <x14:cfvo type="autoMax"/>
              <x14:borderColor rgb="FFFF555A"/>
              <x14:negativeFillColor rgb="FFFF0000"/>
              <x14:negativeBorderColor rgb="FFFF0000"/>
              <x14:axisColor rgb="FF000000"/>
            </x14:dataBar>
          </x14:cfRule>
          <xm:sqref>R3:T4</xm:sqref>
        </x14:conditionalFormatting>
      </x14:conditionalFormattings>
    </ext>
  </extLst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SM_Bottom_Board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Windows User</dc:creator>
  <cp:lastModifiedBy>user</cp:lastModifiedBy>
  <dcterms:created xsi:type="dcterms:W3CDTF">2021-07-08T08:22:22Z</dcterms:created>
  <dcterms:modified xsi:type="dcterms:W3CDTF">2021-07-29T12:48:53Z</dcterms:modified>
</cp:coreProperties>
</file>