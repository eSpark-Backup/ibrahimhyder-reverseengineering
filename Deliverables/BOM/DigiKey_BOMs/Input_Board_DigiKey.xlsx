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eSpark\IbrahimHyder-ReverseEngineering\Deliverables\BOM\DigiKey_BOMs\"/>
    </mc:Choice>
  </mc:AlternateContent>
  <xr:revisionPtr revIDLastSave="0" documentId="13_ncr:1_{A32F0E47-2368-4D3A-BBE7-297474F228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_Bottom_Board" sheetId="1" r:id="rId1"/>
  </sheets>
  <definedNames>
    <definedName name="_xlnm.Print_Titles" localSheetId="0">SM_Bottom_Board!#REF!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1" l="1"/>
  <c r="V5" i="1" s="1"/>
  <c r="T4" i="1"/>
  <c r="R4" i="1"/>
  <c r="R5" i="1" s="1"/>
  <c r="P4" i="1"/>
  <c r="P3" i="1"/>
  <c r="T5" i="1"/>
  <c r="V3" i="1"/>
  <c r="T3" i="1"/>
  <c r="R3" i="1"/>
  <c r="M4" i="1"/>
  <c r="L4" i="1"/>
  <c r="M3" i="1"/>
  <c r="L3" i="1"/>
  <c r="A4" i="1" l="1"/>
  <c r="K4" i="1"/>
  <c r="K3" i="1"/>
  <c r="R6" i="1" s="1"/>
  <c r="P6" i="1" l="1"/>
</calcChain>
</file>

<file path=xl/sharedStrings.xml><?xml version="1.0" encoding="utf-8"?>
<sst xmlns="http://schemas.openxmlformats.org/spreadsheetml/2006/main" count="45" uniqueCount="40">
  <si>
    <t>Description</t>
  </si>
  <si>
    <t>Designator</t>
  </si>
  <si>
    <t>Manufacturer</t>
  </si>
  <si>
    <t>S. No.</t>
  </si>
  <si>
    <t>Components</t>
  </si>
  <si>
    <t>Footprint (Package)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</si>
  <si>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</si>
  <si>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</si>
  <si>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</si>
  <si>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</si>
  <si>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</si>
  <si>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</si>
  <si>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</si>
  <si>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</si>
  <si>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</si>
  <si>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</si>
  <si>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Bill of Material (BOM) for Cole Benson</t>
  </si>
  <si>
    <t>Connectors</t>
  </si>
  <si>
    <t xml:space="preserve">Total Component Cost </t>
  </si>
  <si>
    <t>Single Board Cost</t>
  </si>
  <si>
    <t>Conn Shrouded Header (4 Sides) HDR 2 POS 2mm Solder RA Thru-Hole Box</t>
  </si>
  <si>
    <t>J1, J3</t>
  </si>
  <si>
    <t>S2B-PH-K-S(LF)(SN)</t>
  </si>
  <si>
    <t>DC Power Receptacle Jack 2.5A 2.5mm 6.5mm SMD Power Connectors RoHS</t>
  </si>
  <si>
    <t>J2</t>
  </si>
  <si>
    <t>DC-005-5A-2.5-SMT</t>
  </si>
  <si>
    <t>Manufacturer Part No:</t>
  </si>
  <si>
    <t>JST</t>
  </si>
  <si>
    <t>XKB Enterprise</t>
  </si>
  <si>
    <t>-------------</t>
  </si>
  <si>
    <t>DigiKey</t>
  </si>
  <si>
    <t>Unit Cost(1000)</t>
  </si>
  <si>
    <t>Total Cost(1000)</t>
  </si>
  <si>
    <t>Unit Cost(5000)</t>
  </si>
  <si>
    <t>Total Cost(5000)</t>
  </si>
  <si>
    <t>Quantity 1000</t>
  </si>
  <si>
    <t>Quantity 5000</t>
  </si>
  <si>
    <t>Local Suplier</t>
  </si>
  <si>
    <t>part out of stock. Similar alternate has been suggested.</t>
  </si>
  <si>
    <t xml:space="preserve">	
440055-2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</si>
</sst>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.0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0" fontId="1" fillId="2" borderId="7" xfId="0" applyFont="1" applyFill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165" fontId="0" fillId="0" borderId="9" xfId="0" applyNumberFormat="1" applyFont="1" applyBorder="1" applyAlignment="1">
      <alignment horizontal="center" vertical="center"/>
    </xf>
    <xf numFmtId="0" fontId="0" fillId="0" borderId="10" xfId="0" applyFont="1" applyBorder="1" applyAlignment="1"/>
    <xf numFmtId="0" fontId="0" fillId="0" borderId="12" xfId="0" applyFont="1" applyBorder="1" applyAlignment="1"/>
    <xf numFmtId="0" fontId="3" fillId="0" borderId="5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7" fillId="0" borderId="1" xfId="0" quotePrefix="1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5" fillId="0" borderId="9" xfId="0" quotePrefix="1" applyFont="1" applyBorder="1" applyAlignment="1">
      <alignment horizontal="center"/>
    </xf>
    <xf numFmtId="165" fontId="0" fillId="0" borderId="13" xfId="0" applyNumberFormat="1" applyFont="1" applyBorder="1" applyAlignment="1">
      <alignment horizontal="center" vertical="center"/>
    </xf>
    <xf numFmtId="165" fontId="0" fillId="0" borderId="14" xfId="0" applyNumberFormat="1" applyFont="1" applyBorder="1" applyAlignment="1">
      <alignment horizontal="center" vertical="center"/>
    </xf>
    <xf numFmtId="44" fontId="0" fillId="0" borderId="10" xfId="0" applyNumberFormat="1" applyFont="1" applyBorder="1" applyAlignment="1"/>
    <xf numFmtId="44" fontId="0" fillId="0" borderId="9" xfId="0" applyNumberFormat="1" applyFont="1" applyBorder="1" applyAlignment="1">
      <alignment horizontal="center" vertical="center"/>
    </xf>
    <xf numFmtId="44" fontId="0" fillId="0" borderId="13" xfId="0" applyNumberFormat="1" applyFont="1" applyBorder="1" applyAlignment="1">
      <alignment horizontal="center" vertical="center"/>
    </xf>
    <xf numFmtId="44" fontId="0" fillId="0" borderId="0" xfId="0" applyNumberFormat="1"/>
    <xf numFmtId="0" fontId="0" fillId="0" borderId="10" xfId="0" applyFont="1" applyBorder="1" applyAlignment="1">
      <alignment horizontal="center" vertical="center" wrapText="1"/>
    </xf>
    <xf numFmtId="0" fontId="9" fillId="0" borderId="9" xfId="0" quotePrefix="1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4" fillId="0" borderId="9" xfId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te-connectivity-amp-connectors/440055-2/20779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6"/>
  <sheetViews>
    <sheetView tabSelected="1" zoomScale="78" zoomScaleNormal="78" workbookViewId="0">
      <selection activeCell="N3" sqref="N3:N4"/>
    </sheetView>
  </sheetViews>
  <sheetFormatPr defaultRowHeight="15" x14ac:dyDescent="0.25"/>
  <cols>
    <col min="1" max="1" width="6.140625" bestFit="1" customWidth="1"/>
    <col min="2" max="2" width="16.5703125" customWidth="1"/>
    <col min="3" max="3" width="73.5703125" bestFit="1" customWidth="1"/>
    <col min="4" max="4" width="28.140625" customWidth="1"/>
    <col min="5" max="5" width="25" customWidth="1"/>
    <col min="6" max="6" width="28" customWidth="1"/>
    <col min="7" max="7" width="19.85546875" bestFit="1" customWidth="1"/>
    <col min="8" max="8" width="18" bestFit="1" customWidth="1"/>
    <col min="9" max="9" width="22.42578125" bestFit="1" customWidth="1"/>
    <col min="10" max="10" width="19.42578125" bestFit="1" customWidth="1"/>
    <col min="11" max="11" width="13.42578125" bestFit="1" customWidth="1"/>
    <col min="12" max="13" width="13.42578125" customWidth="1"/>
    <col min="14" max="14" width="15.7109375" bestFit="1" customWidth="1"/>
    <col min="15" max="15" width="14.5703125" bestFit="1" customWidth="1"/>
    <col min="16" max="16" width="15.85546875" bestFit="1" customWidth="1"/>
    <col min="17" max="17" width="24.5703125" bestFit="1" customWidth="1"/>
    <col min="18" max="18" width="17.140625" bestFit="1" customWidth="1"/>
    <col min="19" max="19" width="17.140625" customWidth="1"/>
    <col min="20" max="20" width="18" customWidth="1"/>
    <col min="21" max="21" width="14.85546875" customWidth="1"/>
    <col min="22" max="22" width="19.5703125" customWidth="1"/>
    <col min="23" max="23" width="38.140625" customWidth="1"/>
  </cols>
  <sheetData>
    <row r="1" spans="1:40" ht="16.5" thickBot="1" x14ac:dyDescent="0.3">
      <c r="A1" s="16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  <c r="V1" s="16" t="s">
        <v>16</v>
      </c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8"/>
    </row>
    <row r="2" spans="1:40" ht="15.75" thickBot="1" x14ac:dyDescent="0.3">
      <c r="A2" s="1" t="s">
        <v>3</v>
      </c>
      <c r="B2" s="6" t="s">
        <v>4</v>
      </c>
      <c r="C2" s="6" t="s">
        <v>0</v>
      </c>
      <c r="D2" s="6" t="s">
        <v>1</v>
      </c>
      <c r="E2" s="6" t="s">
        <v>5</v>
      </c>
      <c r="F2" s="6" t="s">
        <v>26</v>
      </c>
      <c r="G2" s="6" t="s">
        <v>2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35</v>
      </c>
      <c r="M2" s="6" t="s">
        <v>36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31</v>
      </c>
      <c r="T2" s="6" t="s">
        <v>32</v>
      </c>
      <c r="U2" s="6" t="s">
        <v>33</v>
      </c>
      <c r="V2" s="6" t="s">
        <v>34</v>
      </c>
      <c r="W2" s="6" t="s">
        <v>15</v>
      </c>
    </row>
    <row r="3" spans="1:40" ht="30.75" thickBot="1" x14ac:dyDescent="0.3">
      <c r="A3" s="12">
        <v>1</v>
      </c>
      <c r="B3" s="15" t="s">
        <v>17</v>
      </c>
      <c r="C3" s="20" t="s">
        <v>20</v>
      </c>
      <c r="D3" s="21" t="s">
        <v>21</v>
      </c>
      <c r="E3" s="21" t="s">
        <v>22</v>
      </c>
      <c r="F3" s="21" t="s">
        <v>22</v>
      </c>
      <c r="G3" s="20" t="s">
        <v>27</v>
      </c>
      <c r="H3" s="30" t="s">
        <v>39</v>
      </c>
      <c r="I3" s="22" t="s">
        <v>29</v>
      </c>
      <c r="J3" s="31">
        <v>2</v>
      </c>
      <c r="K3" s="8">
        <f>J3*5</f>
        <v>10</v>
      </c>
      <c r="L3" s="8">
        <f>J3*1000</f>
        <v>2000</v>
      </c>
      <c r="M3" s="8">
        <f>J3*5000</f>
        <v>10000</v>
      </c>
      <c r="N3" s="32" t="s">
        <v>30</v>
      </c>
      <c r="O3" s="9">
        <v>0.19</v>
      </c>
      <c r="P3" s="26">
        <f>O3*J3</f>
        <v>0.38</v>
      </c>
      <c r="Q3" s="9">
        <v>0.17599999999999999</v>
      </c>
      <c r="R3" s="26">
        <f>Q3*K3</f>
        <v>1.7599999999999998</v>
      </c>
      <c r="S3" s="23">
        <v>7.886E-2</v>
      </c>
      <c r="T3" s="27">
        <f>S3*L3</f>
        <v>157.72</v>
      </c>
      <c r="U3" s="10">
        <v>6.5720000000000001E-2</v>
      </c>
      <c r="V3" s="25">
        <f>U3*M3</f>
        <v>657.2</v>
      </c>
      <c r="W3" s="29" t="s">
        <v>38</v>
      </c>
    </row>
    <row r="4" spans="1:40" ht="15.75" thickBot="1" x14ac:dyDescent="0.3">
      <c r="A4" s="12">
        <f>A3+1</f>
        <v>2</v>
      </c>
      <c r="B4" s="19"/>
      <c r="C4" s="20" t="s">
        <v>23</v>
      </c>
      <c r="D4" s="21" t="s">
        <v>24</v>
      </c>
      <c r="E4" s="21" t="s">
        <v>25</v>
      </c>
      <c r="F4" s="21" t="s">
        <v>25</v>
      </c>
      <c r="G4" s="20" t="s">
        <v>28</v>
      </c>
      <c r="H4" s="22" t="s">
        <v>29</v>
      </c>
      <c r="I4" s="22" t="s">
        <v>29</v>
      </c>
      <c r="J4" s="31">
        <v>1</v>
      </c>
      <c r="K4" s="2">
        <f t="shared" ref="K4" si="0">J4*5</f>
        <v>5</v>
      </c>
      <c r="L4" s="8">
        <f>J4*1000</f>
        <v>1000</v>
      </c>
      <c r="M4" s="8">
        <f>J4*5000</f>
        <v>5000</v>
      </c>
      <c r="N4" s="33" t="s">
        <v>37</v>
      </c>
      <c r="O4" s="7">
        <v>0.58499999999999996</v>
      </c>
      <c r="P4" s="26">
        <f>O4*J4</f>
        <v>0.58499999999999996</v>
      </c>
      <c r="Q4" s="7">
        <v>0.53600000000000003</v>
      </c>
      <c r="R4" s="26">
        <f>Q4*K4</f>
        <v>2.68</v>
      </c>
      <c r="S4" s="24">
        <v>0.51</v>
      </c>
      <c r="T4" s="27">
        <f>S4*L4</f>
        <v>510</v>
      </c>
      <c r="U4" s="10">
        <v>6.5720000000000001E-2</v>
      </c>
      <c r="V4" s="25">
        <f>U4*M4</f>
        <v>328.6</v>
      </c>
      <c r="W4" s="11"/>
    </row>
    <row r="5" spans="1:40" ht="19.5" thickBot="1" x14ac:dyDescent="0.35">
      <c r="J5" s="13" t="s">
        <v>18</v>
      </c>
      <c r="K5" s="13"/>
      <c r="L5" s="13"/>
      <c r="M5" s="13"/>
      <c r="N5" s="13"/>
      <c r="O5" s="13"/>
      <c r="R5" s="4">
        <f>SUM(R3:R4)</f>
        <v>4.4399999999999995</v>
      </c>
      <c r="S5" s="4"/>
      <c r="T5" s="4">
        <f>SUM(T3:T4)</f>
        <v>667.72</v>
      </c>
      <c r="V5" s="28">
        <f>SUM(V3:V4)</f>
        <v>985.80000000000007</v>
      </c>
    </row>
    <row r="6" spans="1:40" ht="18.75" x14ac:dyDescent="0.3">
      <c r="J6" s="14" t="s">
        <v>19</v>
      </c>
      <c r="K6" s="14"/>
      <c r="L6" s="14"/>
      <c r="M6" s="14"/>
      <c r="N6" s="14"/>
      <c r="O6" s="14"/>
      <c r="P6" s="3">
        <f>SUM(P3:P4)</f>
        <v>0.96499999999999997</v>
      </c>
      <c r="R6" s="5">
        <f>R5/5</f>
        <v>0.8879999999999999</v>
      </c>
      <c r="S6" s="5"/>
      <c r="T6" s="5"/>
    </row>
  </sheetData>
  <mergeCells count="5">
    <mergeCell ref="V1:AN1"/>
    <mergeCell ref="J5:O5"/>
    <mergeCell ref="J6:O6"/>
    <mergeCell ref="A1:U1"/>
    <mergeCell ref="B3:B4"/>
  </mergeCells>
  <phoneticPr fontId="8" type="noConversion"/>
  <conditionalFormatting sqref="J3:M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{31993F18-4C5F-4176-9D23-BFACE9C28768}</x14:id>
        </ext>
      </extLst>
    </cfRule>
  </conditionalFormatting>
  <conditionalFormatting sqref="P6:T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{70EE1023-228D-423C-ADF5-29102BB53C0F}</x14:id>
        </ext>
      </extLst>
    </cfRule>
  </conditionalFormatting>
  <conditionalFormatting sqref="R3:T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{BC439CAB-0450-4930-B07F-0CD52FB2A12C}</x14:id>
        </ext>
      </extLst>
    </cfRule>
  </conditionalFormatting>
  <conditionalFormatting sqref="V3:V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3" r:id="rId1" xr:uid="{2C99B434-E647-41FF-A13E-715CF3A744A3}"/>
  </hyperlinks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993F18-4C5F-4176-9D23-BFACE9C287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P3:P4</xm:sqref>
        </x14:conditionalFormatting>
        <x14:conditionalFormatting xmlns:xm="http://schemas.microsoft.com/office/excel/2006/main">
          <x14:cfRule type="dataBar" id="{70EE1023-228D-423C-ADF5-29102BB53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P6:T6</xm:sqref>
        </x14:conditionalFormatting>
        <x14:conditionalFormatting xmlns:xm="http://schemas.microsoft.com/office/excel/2006/main">
          <x14:cfRule type="dataBar" id="{BC439CAB-0450-4930-B07F-0CD52FB2A1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R3:T4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SM_Bottom_Board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2021-07-08T08:22:22Z</dcterms:created>
  <dcterms:modified xsi:type="dcterms:W3CDTF">2021-07-19T10:34:22Z</dcterms:modified>
</cp:coreProperties>
</file>