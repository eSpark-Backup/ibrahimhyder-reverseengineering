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C:\Users\eSpark-37\Documents\GitHub\IbrahimHyder-ReverseEngineering\Deliverables\BOM\DigiKey_BOMs\"/>
    </mc:Choice>
  </mc:AlternateContent>
  <xr:revisionPtr revIDLastSave="0" documentId="13_ncr:1_{A21455DD-B867-4722-8132-BBE6498C34F9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Input_Board" sheetId="1" r:id="rId1"/>
  </sheets>
  <definedNames>
    <definedName name="_xlnm.Print_Titles" localSheetId="0">Input_Board!#REF!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8" i="1" l="1"/>
  <c r="V7" i="1"/>
  <c r="K6" i="1"/>
  <c r="R6" i="1" s="1"/>
  <c r="P6" i="1"/>
  <c r="M5" i="1"/>
  <c r="M6" i="1"/>
  <c r="V6" i="1" s="1"/>
  <c r="L5" i="1"/>
  <c r="L6" i="1"/>
  <c r="T6" i="1" s="1"/>
  <c r="K4" i="1"/>
  <c r="K5" i="1"/>
  <c r="P4" i="1"/>
  <c r="P8" i="1" s="1"/>
  <c r="P3" i="1"/>
  <c r="M4" i="1"/>
  <c r="V4" i="1" s="1"/>
  <c r="L4" i="1"/>
  <c r="T4" i="1" s="1"/>
  <c r="T7" i="1" s="1"/>
  <c r="M3" i="1"/>
  <c r="V3" i="1" s="1"/>
  <c r="L3" i="1"/>
  <c r="T3" i="1" s="1"/>
  <c r="R4" i="1" l="1"/>
  <c r="R7" i="1" s="1"/>
  <c r="K3" i="1"/>
  <c r="R3" i="1" l="1"/>
</calcChain>
</file>

<file path=xl/sharedStrings.xml><?xml version="1.0" encoding="utf-8"?>
<sst xmlns="http://schemas.openxmlformats.org/spreadsheetml/2006/main" count="71" uniqueCount="52">
  <si>
    <t>Description</t>
  </si>
  <si>
    <t>Designator</t>
  </si>
  <si>
    <t>Manufacturer</t>
  </si>
  <si>
    <t>S. No.</t>
  </si>
  <si>
    <t>Components</t>
  </si>
  <si>
    <t>Footprint (Package)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</si>
  <si>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</si>
  <si>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</si>
  <si>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</si>
  <si>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</si>
  <si>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</si>
  <si>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</si>
  <si>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</si>
  <si>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</si>
  <si>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</si>
  <si>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</si>
  <si>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Connectors</t>
  </si>
  <si>
    <t xml:space="preserve">Total Component Cost </t>
  </si>
  <si>
    <t>Single Board Cost</t>
  </si>
  <si>
    <t>Conn Shrouded Header (4 Sides) HDR 2 POS 2mm Solder RA Thru-Hole Box</t>
  </si>
  <si>
    <t>J1, J3</t>
  </si>
  <si>
    <t>S2B-PH-K-S(LF)(SN)</t>
  </si>
  <si>
    <t>J2</t>
  </si>
  <si>
    <t>Manufacturer Part No:</t>
  </si>
  <si>
    <t>JST</t>
  </si>
  <si>
    <t>-------------</t>
  </si>
  <si>
    <t>DigiKey</t>
  </si>
  <si>
    <t>Unit Cost(1000)</t>
  </si>
  <si>
    <t>Total Cost(1000)</t>
  </si>
  <si>
    <t>Unit Cost(5000)</t>
  </si>
  <si>
    <t>Total Cost(5000)</t>
  </si>
  <si>
    <t>Quantity 1000</t>
  </si>
  <si>
    <t>Quantity 5000</t>
  </si>
  <si>
    <t xml:space="preserve">	
440055-2</t>
  </si>
  <si>
    <t>Bill of Material (BOM) for Input Board (Ibrahim Design)</t>
  </si>
  <si>
    <t>Test Points</t>
  </si>
  <si>
    <t>SMD Test points</t>
  </si>
  <si>
    <t>P1, P2, P3, P4, P5, P6</t>
  </si>
  <si>
    <t>Custom(SMD)</t>
  </si>
  <si>
    <t>Do Not Mount</t>
  </si>
  <si>
    <t>Part out of stock. Similar alternate has been suggested.</t>
  </si>
  <si>
    <t>Resistors</t>
  </si>
  <si>
    <t>RES 5.1K OHM 1% 1/10W 0603</t>
  </si>
  <si>
    <t>R1, R2</t>
  </si>
  <si>
    <t>RMCF0603FT5K10</t>
  </si>
  <si>
    <t>Stackpole Electronics</t>
  </si>
  <si>
    <t>5.1K</t>
  </si>
  <si>
    <t>0603 (1608 Metric)</t>
  </si>
  <si>
    <t>Through Hole (2mm)</t>
  </si>
  <si>
    <t xml:space="preserve"> 
USB-C (USB TYPE-C) USB 3.2 Gen 2 (USB 3.1 Gen 2, Superspeed + (USB 3.1)) Receptacle Connector 24 Position Surface Mount, Through Hole</t>
  </si>
  <si>
    <t>632722110112</t>
  </si>
  <si>
    <t xml:space="preserve"> Würth Elektronik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</si>
</sst>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"/>
    <numFmt numFmtId="165" formatCode="&quot;$&quot;#,##0.0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scheme val="minor"/>
    </font>
    <font>
      <b/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0">
    <xf numFmtId="0" fontId="0" fillId="0" borderId="0" xfId="0"/>
    <xf numFmtId="164" fontId="0" fillId="0" borderId="0" xfId="0" applyNumberFormat="1"/>
    <xf numFmtId="0" fontId="0" fillId="0" borderId="5" xfId="0" applyFont="1" applyBorder="1" applyAlignment="1">
      <alignment horizontal="center" vertical="center"/>
    </xf>
    <xf numFmtId="165" fontId="0" fillId="0" borderId="5" xfId="0" applyNumberFormat="1" applyFont="1" applyBorder="1" applyAlignment="1">
      <alignment horizontal="center" vertical="center"/>
    </xf>
    <xf numFmtId="0" fontId="5" fillId="0" borderId="5" xfId="0" quotePrefix="1" applyFont="1" applyBorder="1" applyAlignment="1">
      <alignment horizontal="center"/>
    </xf>
    <xf numFmtId="44" fontId="0" fillId="0" borderId="5" xfId="0" applyNumberFormat="1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 wrapText="1"/>
    </xf>
    <xf numFmtId="0" fontId="9" fillId="0" borderId="5" xfId="0" quotePrefix="1" applyFont="1" applyBorder="1" applyAlignment="1">
      <alignment horizontal="center" wrapText="1"/>
    </xf>
    <xf numFmtId="0" fontId="4" fillId="0" borderId="5" xfId="1" applyBorder="1" applyAlignment="1">
      <alignment horizontal="center" vertical="center"/>
    </xf>
    <xf numFmtId="0" fontId="7" fillId="0" borderId="5" xfId="0" quotePrefix="1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7" fillId="0" borderId="7" xfId="0" quotePrefix="1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7" xfId="0" applyFont="1" applyBorder="1" applyAlignment="1">
      <alignment horizontal="center" vertical="center"/>
    </xf>
    <xf numFmtId="165" fontId="0" fillId="0" borderId="7" xfId="0" applyNumberFormat="1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 wrapText="1"/>
    </xf>
    <xf numFmtId="0" fontId="6" fillId="3" borderId="0" xfId="0" applyFont="1" applyFill="1" applyBorder="1" applyAlignment="1">
      <alignment horizontal="center" wrapText="1"/>
    </xf>
    <xf numFmtId="0" fontId="7" fillId="0" borderId="10" xfId="0" quotePrefix="1" applyFont="1" applyBorder="1" applyAlignment="1">
      <alignment vertical="center" wrapText="1"/>
    </xf>
    <xf numFmtId="0" fontId="7" fillId="0" borderId="11" xfId="0" quotePrefix="1" applyFont="1" applyBorder="1" applyAlignment="1">
      <alignment horizontal="center" vertical="center" wrapText="1"/>
    </xf>
    <xf numFmtId="0" fontId="5" fillId="0" borderId="11" xfId="0" quotePrefix="1" applyFont="1" applyBorder="1" applyAlignment="1">
      <alignment horizontal="center"/>
    </xf>
    <xf numFmtId="0" fontId="0" fillId="0" borderId="11" xfId="0" applyBorder="1" applyAlignment="1">
      <alignment horizontal="center" vertical="center" wrapText="1"/>
    </xf>
    <xf numFmtId="0" fontId="0" fillId="0" borderId="11" xfId="0" applyFont="1" applyBorder="1" applyAlignment="1">
      <alignment horizontal="center" vertical="center"/>
    </xf>
    <xf numFmtId="0" fontId="4" fillId="0" borderId="11" xfId="1" applyBorder="1" applyAlignment="1">
      <alignment horizontal="center" vertical="center"/>
    </xf>
    <xf numFmtId="165" fontId="0" fillId="0" borderId="11" xfId="0" applyNumberFormat="1" applyFont="1" applyBorder="1" applyAlignment="1">
      <alignment horizontal="center" vertical="center"/>
    </xf>
    <xf numFmtId="44" fontId="0" fillId="0" borderId="1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0" fillId="0" borderId="11" xfId="0" applyFont="1" applyBorder="1" applyAlignment="1">
      <alignment vertical="center"/>
    </xf>
    <xf numFmtId="44" fontId="0" fillId="0" borderId="11" xfId="0" applyNumberFormat="1" applyFont="1" applyBorder="1" applyAlignment="1">
      <alignment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0" fillId="0" borderId="3" xfId="0" applyBorder="1"/>
    <xf numFmtId="165" fontId="0" fillId="0" borderId="3" xfId="0" applyNumberFormat="1" applyBorder="1"/>
    <xf numFmtId="44" fontId="0" fillId="0" borderId="3" xfId="0" applyNumberFormat="1" applyBorder="1"/>
    <xf numFmtId="0" fontId="0" fillId="0" borderId="5" xfId="0" applyFont="1" applyBorder="1" applyAlignment="1"/>
    <xf numFmtId="44" fontId="0" fillId="0" borderId="5" xfId="0" applyNumberFormat="1" applyFont="1" applyBorder="1" applyAlignment="1"/>
    <xf numFmtId="0" fontId="0" fillId="0" borderId="12" xfId="0" applyFont="1" applyBorder="1" applyAlignment="1">
      <alignment horizontal="center" vertical="center" wrapText="1"/>
    </xf>
    <xf numFmtId="0" fontId="5" fillId="0" borderId="7" xfId="0" quotePrefix="1" applyFont="1" applyBorder="1" applyAlignment="1">
      <alignment horizontal="center" vertical="center"/>
    </xf>
    <xf numFmtId="0" fontId="9" fillId="0" borderId="7" xfId="0" quotePrefix="1" applyFont="1" applyBorder="1" applyAlignment="1">
      <alignment horizontal="center" vertical="center" wrapText="1"/>
    </xf>
    <xf numFmtId="0" fontId="4" fillId="0" borderId="7" xfId="1" applyBorder="1" applyAlignment="1">
      <alignment horizontal="center" vertical="center"/>
    </xf>
    <xf numFmtId="44" fontId="0" fillId="0" borderId="7" xfId="0" applyNumberFormat="1" applyFont="1" applyBorder="1" applyAlignment="1">
      <alignment horizontal="center" vertical="center"/>
    </xf>
    <xf numFmtId="0" fontId="0" fillId="0" borderId="7" xfId="0" applyFont="1" applyBorder="1" applyAlignment="1">
      <alignment vertical="center"/>
    </xf>
    <xf numFmtId="44" fontId="0" fillId="0" borderId="7" xfId="0" applyNumberFormat="1" applyFont="1" applyBorder="1" applyAlignment="1">
      <alignment vertical="center"/>
    </xf>
    <xf numFmtId="0" fontId="0" fillId="0" borderId="8" xfId="0" applyBorder="1"/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7" fillId="0" borderId="18" xfId="0" quotePrefix="1" applyFont="1" applyBorder="1" applyAlignment="1">
      <alignment vertical="center" wrapText="1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0" fillId="0" borderId="12" xfId="0" applyFont="1" applyBorder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Font="1" applyAlignment="1">
      <alignment horizontal="right" vertical="center"/>
    </xf>
    <xf numFmtId="0" fontId="7" fillId="0" borderId="22" xfId="0" quotePrefix="1" applyFont="1" applyBorder="1" applyAlignment="1">
      <alignment vertical="center" wrapText="1"/>
    </xf>
    <xf numFmtId="0" fontId="7" fillId="0" borderId="4" xfId="0" quotePrefix="1" applyFont="1" applyBorder="1" applyAlignment="1">
      <alignment vertical="center" wrapText="1"/>
    </xf>
    <xf numFmtId="49" fontId="7" fillId="0" borderId="15" xfId="0" quotePrefix="1" applyNumberFormat="1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w%C3%BCrth-elektronik/632722110112/10056407" TargetMode="External"/><Relationship Id="rId2" Type="http://schemas.openxmlformats.org/officeDocument/2006/relationships/hyperlink" Target="https://www.digikey.com/en/products/detail/stackpole-electronics-inc/RMCF0603FT5K10/1760908?s=N4IgTCBcDaIEoFkDCAxADANjQZhQFQFYBpARjRAF0BfIA" TargetMode="External"/><Relationship Id="rId1" Type="http://schemas.openxmlformats.org/officeDocument/2006/relationships/hyperlink" Target="https://www.digikey.com/en/products/detail/te-connectivity-amp-connectors/440055-2/2077946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8"/>
  <sheetViews>
    <sheetView tabSelected="1" topLeftCell="Q1" zoomScaleNormal="100" workbookViewId="0">
      <selection activeCell="D20" sqref="D20"/>
    </sheetView>
  </sheetViews>
  <sheetFormatPr defaultRowHeight="15" x14ac:dyDescent="0.25"/>
  <cols>
    <col min="1" max="1" width="6.140625" bestFit="1" customWidth="1"/>
    <col min="2" max="2" width="16.5703125" customWidth="1"/>
    <col min="3" max="3" width="73.5703125" bestFit="1" customWidth="1"/>
    <col min="4" max="5" width="22.42578125" customWidth="1"/>
    <col min="6" max="6" width="25.42578125" customWidth="1"/>
    <col min="7" max="7" width="19.85546875" bestFit="1" customWidth="1"/>
    <col min="8" max="8" width="18" bestFit="1" customWidth="1"/>
    <col min="9" max="9" width="22.42578125" bestFit="1" customWidth="1"/>
    <col min="10" max="10" width="19.42578125" bestFit="1" customWidth="1"/>
    <col min="11" max="11" width="13.42578125" bestFit="1" customWidth="1"/>
    <col min="12" max="13" width="13.42578125" customWidth="1"/>
    <col min="14" max="14" width="15.7109375" bestFit="1" customWidth="1"/>
    <col min="15" max="15" width="14.5703125" bestFit="1" customWidth="1"/>
    <col min="16" max="16" width="15.85546875" bestFit="1" customWidth="1"/>
    <col min="17" max="17" width="24.5703125" bestFit="1" customWidth="1"/>
    <col min="18" max="18" width="17.140625" bestFit="1" customWidth="1"/>
    <col min="19" max="19" width="17.140625" customWidth="1"/>
    <col min="20" max="20" width="18" customWidth="1"/>
    <col min="21" max="21" width="14.85546875" customWidth="1"/>
    <col min="22" max="22" width="19.5703125" customWidth="1"/>
    <col min="23" max="23" width="38.140625" customWidth="1"/>
  </cols>
  <sheetData>
    <row r="1" spans="1:40" ht="16.5" thickBot="1" x14ac:dyDescent="0.3">
      <c r="A1" s="27" t="s">
        <v>34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6"/>
    </row>
    <row r="2" spans="1:40" ht="15.75" thickBot="1" x14ac:dyDescent="0.3">
      <c r="A2" s="32" t="s">
        <v>3</v>
      </c>
      <c r="B2" s="33" t="s">
        <v>4</v>
      </c>
      <c r="C2" s="33" t="s">
        <v>0</v>
      </c>
      <c r="D2" s="33" t="s">
        <v>1</v>
      </c>
      <c r="E2" s="33" t="s">
        <v>5</v>
      </c>
      <c r="F2" s="33" t="s">
        <v>23</v>
      </c>
      <c r="G2" s="33" t="s">
        <v>2</v>
      </c>
      <c r="H2" s="33" t="s">
        <v>6</v>
      </c>
      <c r="I2" s="33" t="s">
        <v>7</v>
      </c>
      <c r="J2" s="33" t="s">
        <v>8</v>
      </c>
      <c r="K2" s="33" t="s">
        <v>9</v>
      </c>
      <c r="L2" s="33" t="s">
        <v>31</v>
      </c>
      <c r="M2" s="33" t="s">
        <v>32</v>
      </c>
      <c r="N2" s="33" t="s">
        <v>10</v>
      </c>
      <c r="O2" s="33" t="s">
        <v>11</v>
      </c>
      <c r="P2" s="33" t="s">
        <v>12</v>
      </c>
      <c r="Q2" s="33" t="s">
        <v>13</v>
      </c>
      <c r="R2" s="33" t="s">
        <v>14</v>
      </c>
      <c r="S2" s="33" t="s">
        <v>27</v>
      </c>
      <c r="T2" s="33" t="s">
        <v>28</v>
      </c>
      <c r="U2" s="33" t="s">
        <v>29</v>
      </c>
      <c r="V2" s="33" t="s">
        <v>30</v>
      </c>
      <c r="W2" s="33" t="s">
        <v>15</v>
      </c>
    </row>
    <row r="3" spans="1:40" ht="30" x14ac:dyDescent="0.25">
      <c r="A3" s="47">
        <v>1</v>
      </c>
      <c r="B3" s="50" t="s">
        <v>16</v>
      </c>
      <c r="C3" s="58" t="s">
        <v>19</v>
      </c>
      <c r="D3" s="9" t="s">
        <v>20</v>
      </c>
      <c r="E3" s="9" t="s">
        <v>48</v>
      </c>
      <c r="F3" s="9" t="s">
        <v>21</v>
      </c>
      <c r="G3" s="9" t="s">
        <v>24</v>
      </c>
      <c r="H3" s="7" t="s">
        <v>33</v>
      </c>
      <c r="I3" s="4" t="s">
        <v>25</v>
      </c>
      <c r="J3" s="10">
        <v>2</v>
      </c>
      <c r="K3" s="2">
        <f>J3*5</f>
        <v>10</v>
      </c>
      <c r="L3" s="2">
        <f>J3*1000</f>
        <v>2000</v>
      </c>
      <c r="M3" s="2">
        <f>J3*5000</f>
        <v>10000</v>
      </c>
      <c r="N3" s="8" t="s">
        <v>26</v>
      </c>
      <c r="O3" s="3">
        <v>0.19</v>
      </c>
      <c r="P3" s="5">
        <f>O3*J3</f>
        <v>0.38</v>
      </c>
      <c r="Q3" s="3">
        <v>0.17599999999999999</v>
      </c>
      <c r="R3" s="5">
        <f>Q3*K3</f>
        <v>1.7599999999999998</v>
      </c>
      <c r="S3" s="3">
        <v>7.886E-2</v>
      </c>
      <c r="T3" s="5">
        <f>S3*L3</f>
        <v>157.72</v>
      </c>
      <c r="U3" s="37">
        <v>6.5720000000000001E-2</v>
      </c>
      <c r="V3" s="38">
        <f>U3*M3</f>
        <v>657.2</v>
      </c>
      <c r="W3" s="6" t="s">
        <v>40</v>
      </c>
    </row>
    <row r="4" spans="1:40" s="55" customFormat="1" ht="39" thickBot="1" x14ac:dyDescent="0.3">
      <c r="A4" s="48">
        <v>2</v>
      </c>
      <c r="B4" s="51"/>
      <c r="C4" s="57" t="s">
        <v>49</v>
      </c>
      <c r="D4" s="18" t="s">
        <v>22</v>
      </c>
      <c r="E4" s="18" t="s">
        <v>38</v>
      </c>
      <c r="F4" s="59" t="s">
        <v>50</v>
      </c>
      <c r="G4" s="18" t="s">
        <v>51</v>
      </c>
      <c r="H4" s="29" t="s">
        <v>25</v>
      </c>
      <c r="I4" s="29" t="s">
        <v>25</v>
      </c>
      <c r="J4" s="20">
        <v>1</v>
      </c>
      <c r="K4" s="21">
        <f t="shared" ref="K4:K6" si="0">J4*5</f>
        <v>5</v>
      </c>
      <c r="L4" s="21">
        <f>J4*1000</f>
        <v>1000</v>
      </c>
      <c r="M4" s="21">
        <f>J4*5000</f>
        <v>5000</v>
      </c>
      <c r="N4" s="22" t="s">
        <v>26</v>
      </c>
      <c r="O4" s="23">
        <v>4.82</v>
      </c>
      <c r="P4" s="24">
        <f>O4*J4</f>
        <v>4.82</v>
      </c>
      <c r="Q4" s="23">
        <v>4.4219999999999997</v>
      </c>
      <c r="R4" s="24">
        <f>Q4*K4</f>
        <v>22.11</v>
      </c>
      <c r="S4" s="23">
        <v>2.9750000000000001</v>
      </c>
      <c r="T4" s="24">
        <f>S4*L4</f>
        <v>2975</v>
      </c>
      <c r="U4" s="30">
        <v>2.9750000000000001</v>
      </c>
      <c r="V4" s="31">
        <f>U4*M4</f>
        <v>14875</v>
      </c>
      <c r="W4" s="54"/>
    </row>
    <row r="5" spans="1:40" ht="15.75" thickBot="1" x14ac:dyDescent="0.3">
      <c r="A5" s="48">
        <v>3</v>
      </c>
      <c r="B5" s="52" t="s">
        <v>35</v>
      </c>
      <c r="C5" s="49" t="s">
        <v>36</v>
      </c>
      <c r="D5" s="18" t="s">
        <v>37</v>
      </c>
      <c r="E5" s="18" t="s">
        <v>38</v>
      </c>
      <c r="F5" s="19" t="s">
        <v>25</v>
      </c>
      <c r="G5" s="19" t="s">
        <v>25</v>
      </c>
      <c r="H5" s="29" t="s">
        <v>25</v>
      </c>
      <c r="I5" s="19" t="s">
        <v>25</v>
      </c>
      <c r="J5" s="20">
        <v>6</v>
      </c>
      <c r="K5" s="21">
        <f t="shared" si="0"/>
        <v>30</v>
      </c>
      <c r="L5" s="21">
        <f t="shared" ref="L5:L6" si="1">J5*1000</f>
        <v>6000</v>
      </c>
      <c r="M5" s="21">
        <f t="shared" ref="M5:M6" si="2">J5*5000</f>
        <v>30000</v>
      </c>
      <c r="N5" s="19" t="s">
        <v>25</v>
      </c>
      <c r="O5" s="19" t="s">
        <v>25</v>
      </c>
      <c r="P5" s="19" t="s">
        <v>25</v>
      </c>
      <c r="Q5" s="19" t="s">
        <v>25</v>
      </c>
      <c r="R5" s="19" t="s">
        <v>25</v>
      </c>
      <c r="S5" s="19" t="s">
        <v>25</v>
      </c>
      <c r="T5" s="19" t="s">
        <v>25</v>
      </c>
      <c r="U5" s="19" t="s">
        <v>25</v>
      </c>
      <c r="V5" s="19" t="s">
        <v>25</v>
      </c>
      <c r="W5" s="39" t="s">
        <v>39</v>
      </c>
    </row>
    <row r="6" spans="1:40" ht="27" customHeight="1" thickBot="1" x14ac:dyDescent="0.3">
      <c r="A6" s="53">
        <v>4</v>
      </c>
      <c r="B6" s="52" t="s">
        <v>41</v>
      </c>
      <c r="C6" s="17" t="s">
        <v>42</v>
      </c>
      <c r="D6" s="11" t="s">
        <v>43</v>
      </c>
      <c r="E6" s="11" t="s">
        <v>47</v>
      </c>
      <c r="F6" s="11" t="s">
        <v>44</v>
      </c>
      <c r="G6" s="11" t="s">
        <v>45</v>
      </c>
      <c r="H6" s="40" t="s">
        <v>25</v>
      </c>
      <c r="I6" s="41" t="s">
        <v>46</v>
      </c>
      <c r="J6" s="12">
        <v>2</v>
      </c>
      <c r="K6" s="13">
        <f t="shared" si="0"/>
        <v>10</v>
      </c>
      <c r="L6" s="13">
        <f t="shared" si="1"/>
        <v>2000</v>
      </c>
      <c r="M6" s="13">
        <f t="shared" si="2"/>
        <v>10000</v>
      </c>
      <c r="N6" s="42" t="s">
        <v>26</v>
      </c>
      <c r="O6" s="14">
        <v>0.1</v>
      </c>
      <c r="P6" s="43">
        <f>O6*J6</f>
        <v>0.2</v>
      </c>
      <c r="Q6" s="14">
        <v>1.7000000000000001E-2</v>
      </c>
      <c r="R6" s="43">
        <f t="shared" ref="R5:R6" si="3">Q6*K6</f>
        <v>0.17</v>
      </c>
      <c r="S6" s="14">
        <v>3.0500000000000002E-3</v>
      </c>
      <c r="T6" s="43">
        <f t="shared" ref="T5:T6" si="4">S6*L6</f>
        <v>6.1000000000000005</v>
      </c>
      <c r="U6" s="44">
        <v>2.64E-3</v>
      </c>
      <c r="V6" s="45">
        <f t="shared" ref="V5:V6" si="5">U6*M6</f>
        <v>26.4</v>
      </c>
      <c r="W6" s="46"/>
    </row>
    <row r="7" spans="1:40" ht="19.5" thickBot="1" x14ac:dyDescent="0.35">
      <c r="J7" s="15" t="s">
        <v>17</v>
      </c>
      <c r="K7" s="15"/>
      <c r="L7" s="15"/>
      <c r="M7" s="15"/>
      <c r="N7" s="15"/>
      <c r="O7" s="15"/>
      <c r="P7" s="34"/>
      <c r="Q7" s="34"/>
      <c r="R7" s="35">
        <f>SUM(R3:R6)</f>
        <v>24.04</v>
      </c>
      <c r="S7" s="35"/>
      <c r="T7" s="35">
        <f>SUM(T3:T6)</f>
        <v>3138.8199999999997</v>
      </c>
      <c r="U7" s="34"/>
      <c r="V7" s="36">
        <f>SUM(V3:V6)</f>
        <v>15558.6</v>
      </c>
    </row>
    <row r="8" spans="1:40" ht="18.75" x14ac:dyDescent="0.3">
      <c r="J8" s="16" t="s">
        <v>18</v>
      </c>
      <c r="K8" s="16"/>
      <c r="L8" s="16"/>
      <c r="M8" s="16"/>
      <c r="N8" s="16"/>
      <c r="O8" s="16"/>
      <c r="P8" s="56">
        <f>SUM(P3:P6)</f>
        <v>5.4</v>
      </c>
      <c r="R8" s="1">
        <f>R7/5</f>
        <v>4.8079999999999998</v>
      </c>
      <c r="S8" s="1"/>
      <c r="T8" s="1"/>
    </row>
  </sheetData>
  <mergeCells count="4">
    <mergeCell ref="J7:O7"/>
    <mergeCell ref="J8:O8"/>
    <mergeCell ref="B3:B4"/>
    <mergeCell ref="A1:W1"/>
  </mergeCells>
  <phoneticPr fontId="8" type="noConversion"/>
  <conditionalFormatting sqref="P8:T8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{70EE1023-228D-423C-ADF5-29102BB53C0F}</x14:id>
        </ext>
      </extLst>
    </cfRule>
  </conditionalFormatting>
  <conditionalFormatting sqref="J3:M3 J4:J5 K4:M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4 P6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{31993F18-4C5F-4176-9D23-BFACE9C28768}</x14:id>
        </ext>
      </extLst>
    </cfRule>
  </conditionalFormatting>
  <conditionalFormatting sqref="R3:T4 R6 T6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{BC439CAB-0450-4930-B07F-0CD52FB2A12C}</x14:id>
        </ext>
      </extLst>
    </cfRule>
  </conditionalFormatting>
  <conditionalFormatting sqref="V3:V4 V6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R4 R6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6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{C9F62DC1-0B92-4FEE-ABA1-C6D999540A46}</x14:id>
        </ext>
      </extLst>
    </cfRule>
  </conditionalFormatting>
  <hyperlinks>
    <hyperlink ref="N3" r:id="rId1" xr:uid="{2C99B434-E647-41FF-A13E-715CF3A744A3}"/>
    <hyperlink ref="N6" r:id="rId2" xr:uid="{36CC0C31-8CDB-4F04-8984-E910C7ED7E35}"/>
    <hyperlink ref="N4" r:id="rId3" xr:uid="{E51E622B-F213-41BC-89CE-537A8707BCA8}"/>
  </hyperlinks>
  <printOptions horizontalCentered="1" verticalCentered="1"/>
  <pageMargins left="0.30555555555555558" right="0.30555555555555558" top="0.30555555555555558" bottom="0.30555555555555558" header="0" footer="0"/>
  <pageSetup scale="39" orientation="landscape" blackAndWhite="1"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0EE1023-228D-423C-ADF5-29102BB53C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P8:T8</xm:sqref>
        </x14:conditionalFormatting>
        <x14:conditionalFormatting xmlns:xm="http://schemas.microsoft.com/office/excel/2006/main">
          <x14:cfRule type="dataBar" id="{31993F18-4C5F-4176-9D23-BFACE9C287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P3:P4 P6</xm:sqref>
        </x14:conditionalFormatting>
        <x14:conditionalFormatting xmlns:xm="http://schemas.microsoft.com/office/excel/2006/main">
          <x14:cfRule type="dataBar" id="{BC439CAB-0450-4930-B07F-0CD52FB2A1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R3:T4 R6 T6</xm:sqref>
        </x14:conditionalFormatting>
        <x14:conditionalFormatting xmlns:xm="http://schemas.microsoft.com/office/excel/2006/main">
          <x14:cfRule type="dataBar" id="{C9F62DC1-0B92-4FEE-ABA1-C6D999540A4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S6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Input_Board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eSpark-37</cp:lastModifiedBy>
  <dcterms:created xsi:type="dcterms:W3CDTF">2021-07-08T08:22:22Z</dcterms:created>
  <dcterms:modified xsi:type="dcterms:W3CDTF">2021-08-11T18:26:18Z</dcterms:modified>
</cp:coreProperties>
</file>