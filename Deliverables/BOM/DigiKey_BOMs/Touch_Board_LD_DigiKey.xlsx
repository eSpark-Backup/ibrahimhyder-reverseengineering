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D:\eSpark\IbrahimHyder-ReverseEngineering\Deliverables\BOM\DigiKey_BOMs\"/>
    </mc:Choice>
  </mc:AlternateContent>
  <xr:revisionPtr revIDLastSave="0" documentId="13_ncr:1_{D0F564A7-48CC-4DE6-B06C-BA1B28B969C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ouch_Board 1" sheetId="1" r:id="rId1"/>
  </sheets>
  <definedNames>
    <definedName name="_xlnm.Print_Titles" localSheetId="0">'Touch_Board 1'!#REF!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" i="1" l="1"/>
  <c r="V4" i="1" s="1"/>
  <c r="P4" i="1"/>
  <c r="P12" i="1"/>
  <c r="K12" i="1"/>
  <c r="R12" i="1" s="1"/>
  <c r="L12" i="1"/>
  <c r="T12" i="1" s="1"/>
  <c r="M12" i="1"/>
  <c r="V12" i="1" s="1"/>
  <c r="P5" i="1"/>
  <c r="P6" i="1"/>
  <c r="P7" i="1"/>
  <c r="P8" i="1"/>
  <c r="P9" i="1"/>
  <c r="P10" i="1"/>
  <c r="P11" i="1"/>
  <c r="K5" i="1"/>
  <c r="R5" i="1" s="1"/>
  <c r="L5" i="1"/>
  <c r="T5" i="1" s="1"/>
  <c r="M5" i="1"/>
  <c r="V5" i="1" s="1"/>
  <c r="K6" i="1"/>
  <c r="R6" i="1" s="1"/>
  <c r="L6" i="1"/>
  <c r="T6" i="1" s="1"/>
  <c r="M6" i="1"/>
  <c r="V6" i="1" s="1"/>
  <c r="K7" i="1"/>
  <c r="R7" i="1" s="1"/>
  <c r="L7" i="1"/>
  <c r="T7" i="1" s="1"/>
  <c r="M7" i="1"/>
  <c r="V7" i="1" s="1"/>
  <c r="K8" i="1"/>
  <c r="R8" i="1" s="1"/>
  <c r="L8" i="1"/>
  <c r="T8" i="1" s="1"/>
  <c r="M8" i="1"/>
  <c r="V8" i="1" s="1"/>
  <c r="K9" i="1"/>
  <c r="R9" i="1" s="1"/>
  <c r="L9" i="1"/>
  <c r="T9" i="1" s="1"/>
  <c r="M9" i="1"/>
  <c r="V9" i="1" s="1"/>
  <c r="K10" i="1"/>
  <c r="R10" i="1" s="1"/>
  <c r="L10" i="1"/>
  <c r="T10" i="1" s="1"/>
  <c r="M10" i="1"/>
  <c r="V10" i="1" s="1"/>
  <c r="K11" i="1"/>
  <c r="R11" i="1" s="1"/>
  <c r="L11" i="1"/>
  <c r="T11" i="1" s="1"/>
  <c r="M11" i="1"/>
  <c r="V11" i="1" s="1"/>
  <c r="K13" i="1"/>
  <c r="L13" i="1"/>
  <c r="M13" i="1"/>
  <c r="M14" i="1" l="1"/>
  <c r="L14" i="1"/>
  <c r="K14" i="1"/>
  <c r="P3" i="1" l="1"/>
  <c r="L4" i="1"/>
  <c r="T4" i="1" s="1"/>
  <c r="M3" i="1"/>
  <c r="V3" i="1" s="1"/>
  <c r="L3" i="1"/>
  <c r="T3" i="1" s="1"/>
  <c r="T15" i="1" l="1"/>
  <c r="V15" i="1"/>
  <c r="A4" i="1"/>
  <c r="K4" i="1"/>
  <c r="R4" i="1" s="1"/>
  <c r="K3" i="1"/>
  <c r="R3" i="1" l="1"/>
  <c r="R15" i="1" s="1"/>
  <c r="R16" i="1" s="1"/>
  <c r="P16" i="1"/>
</calcChain>
</file>

<file path=xl/sharedStrings.xml><?xml version="1.0" encoding="utf-8"?>
<sst xmlns="http://schemas.openxmlformats.org/spreadsheetml/2006/main" count="145" uniqueCount="99">
  <si>
    <t>Description</t>
  </si>
  <si>
    <t>Designator</t>
  </si>
  <si>
    <t>Manufacturer</t>
  </si>
  <si>
    <t>S. No.</t>
  </si>
  <si>
    <t>Components</t>
  </si>
  <si>
    <t>Footprint (Package)</t>
  </si>
  <si>
    <t>Alternate</t>
  </si>
  <si>
    <t>Value</t>
  </si>
  <si>
    <t>Quantity (Per Board)</t>
  </si>
  <si>
    <t>Quantity 5</t>
  </si>
  <si>
    <t>Unit Cost(1)</t>
  </si>
  <si>
    <t>Total Cost(1)</t>
  </si>
  <si>
    <t>Unit Cost (5 Boards)</t>
  </si>
  <si>
    <t>Total Cost (5)</t>
  </si>
  <si>
    <t>Remarks</t>
  </si>
  <si>
    <t xml:space="preserve">Total Component Cost </t>
  </si>
  <si>
    <t>Single Board Cost</t>
  </si>
  <si>
    <t>Manufacturer Part No:</t>
  </si>
  <si>
    <t>Unit Cost(1000)</t>
  </si>
  <si>
    <t>Total Cost(1000)</t>
  </si>
  <si>
    <t>Unit Cost(5000)</t>
  </si>
  <si>
    <t>Total Cost(5000)</t>
  </si>
  <si>
    <t>Quantity 1000</t>
  </si>
  <si>
    <t>Quantity 5000</t>
  </si>
  <si>
    <t>Custom</t>
  </si>
  <si>
    <t>Digikey</t>
  </si>
  <si>
    <t>LED</t>
  </si>
  <si>
    <t>Link</t>
  </si>
  <si>
    <t>------</t>
  </si>
  <si>
    <t>Connector</t>
  </si>
  <si>
    <t>Bill of Material (BOM) for Ibrahim</t>
  </si>
  <si>
    <t>CAP CER 1UF 25V X5R 0603</t>
  </si>
  <si>
    <t>C1, C1x, C2x</t>
  </si>
  <si>
    <t>Cap0603</t>
  </si>
  <si>
    <t>CC0603KRX5R8BB105</t>
  </si>
  <si>
    <t>Yageo</t>
  </si>
  <si>
    <t>CAP CER 0.1UF 50V X7R 0805</t>
  </si>
  <si>
    <t>C2</t>
  </si>
  <si>
    <t>Cap0805</t>
  </si>
  <si>
    <t>0805B104K500CT</t>
  </si>
  <si>
    <t>Walsin Technologies</t>
  </si>
  <si>
    <t>CAP CER 22PF 50V NPO 0805</t>
  </si>
  <si>
    <t>C5, C6, C7, C8, C9, C10</t>
  </si>
  <si>
    <t>AC0805JRNPO9BN220</t>
  </si>
  <si>
    <t>LED GREEN CLEAR 0805 SMD</t>
  </si>
  <si>
    <t>LED_T</t>
  </si>
  <si>
    <t>LED 0805</t>
  </si>
  <si>
    <t>150080GS75000</t>
  </si>
  <si>
    <t>Wurth Electronics</t>
  </si>
  <si>
    <t>1uF</t>
  </si>
  <si>
    <t>0.1uF</t>
  </si>
  <si>
    <t>22pF</t>
  </si>
  <si>
    <t>RES SMD 5.6K Ohm 1% 0805</t>
  </si>
  <si>
    <t>R1, R2, R3</t>
  </si>
  <si>
    <t>RES 0805</t>
  </si>
  <si>
    <t>ERJ6ENF5601V</t>
  </si>
  <si>
    <t>Panasonic</t>
  </si>
  <si>
    <t>RES SMD 1K OHM 5% 1/8W 0805</t>
  </si>
  <si>
    <t>R3x, R4, R5, R6, R7, R8, RL1</t>
  </si>
  <si>
    <t>CRCW08051K00JNEB</t>
  </si>
  <si>
    <t>Vishay Dale</t>
  </si>
  <si>
    <t>5.6K</t>
  </si>
  <si>
    <t>1K</t>
  </si>
  <si>
    <t xml:space="preserve">Capacitor </t>
  </si>
  <si>
    <t xml:space="preserve">Resistor </t>
  </si>
  <si>
    <t>IC MCU 8BIT 16KB FLASH 20VQFN</t>
  </si>
  <si>
    <t>U1</t>
  </si>
  <si>
    <t>20-QFN</t>
  </si>
  <si>
    <t>ATTINY1616-MNR</t>
  </si>
  <si>
    <t>Microchip</t>
  </si>
  <si>
    <t>IC REG LINEAR 3.3V 200MA SOT23</t>
  </si>
  <si>
    <t>U8</t>
  </si>
  <si>
    <t>sot-23</t>
  </si>
  <si>
    <t>XC6206P332MR-G</t>
  </si>
  <si>
    <t>Torex</t>
  </si>
  <si>
    <t>CONN HEADER VERT 3POS 2.54MM</t>
  </si>
  <si>
    <t>P7'P8</t>
  </si>
  <si>
    <t>Test Point ON</t>
  </si>
  <si>
    <t>P1, P2, P3, P4, P5, P6</t>
  </si>
  <si>
    <t>TEST POINT</t>
  </si>
  <si>
    <t>Solder Bridge</t>
  </si>
  <si>
    <t>Solder Bridge ON</t>
  </si>
  <si>
    <t>SB1, SB2</t>
  </si>
  <si>
    <t>IC</t>
  </si>
  <si>
    <t>----</t>
  </si>
  <si>
    <t>'----</t>
  </si>
  <si>
    <t>CC0805JRNPO9BN220</t>
  </si>
  <si>
    <t xml:space="preserve">RC0805FR-075K6L
</t>
  </si>
  <si>
    <t xml:space="preserve">CR0805-JW-102ELF
</t>
  </si>
  <si>
    <t>CONN HEADER XH SIDE 3POS 2.5MM</t>
  </si>
  <si>
    <t>J2</t>
  </si>
  <si>
    <t>S3B-XH-A-1(LF)(SN)</t>
  </si>
  <si>
    <t>JST</t>
  </si>
  <si>
    <t>Local Supplier</t>
  </si>
  <si>
    <t>--------</t>
  </si>
  <si>
    <t>-------</t>
  </si>
  <si>
    <t>Mouser</t>
  </si>
  <si>
    <t>Do not Mount</t>
  </si>
  <si>
    <t>Part out of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</si>
</sst>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&quot;$&quot;#,##0.000"/>
  </numFmts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444444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 applyFont="1" applyAlignment="1">
      <alignment horizontal="center" vertical="center"/>
    </xf>
    <xf numFmtId="165" fontId="0" fillId="0" borderId="0" xfId="0" applyNumberFormat="1"/>
    <xf numFmtId="164" fontId="0" fillId="0" borderId="0" xfId="0" applyNumberFormat="1"/>
    <xf numFmtId="0" fontId="1" fillId="2" borderId="3" xfId="0" applyFont="1" applyFill="1" applyBorder="1" applyAlignment="1">
      <alignment horizontal="center" vertical="center"/>
    </xf>
    <xf numFmtId="44" fontId="0" fillId="0" borderId="0" xfId="0" applyNumberFormat="1"/>
    <xf numFmtId="0" fontId="0" fillId="0" borderId="0" xfId="0" applyAlignment="1">
      <alignment wrapText="1"/>
    </xf>
    <xf numFmtId="0" fontId="6" fillId="0" borderId="5" xfId="0" quotePrefix="1" applyFont="1" applyBorder="1" applyAlignment="1">
      <alignment horizontal="center" vertical="center" wrapText="1"/>
    </xf>
    <xf numFmtId="0" fontId="8" fillId="0" borderId="5" xfId="0" quotePrefix="1" applyFont="1" applyBorder="1" applyAlignment="1">
      <alignment horizontal="center"/>
    </xf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9" fillId="0" borderId="5" xfId="1" applyFont="1" applyBorder="1" applyAlignment="1">
      <alignment horizontal="center" vertical="center"/>
    </xf>
    <xf numFmtId="165" fontId="6" fillId="0" borderId="5" xfId="0" applyNumberFormat="1" applyFont="1" applyBorder="1" applyAlignment="1">
      <alignment horizontal="center" vertical="center"/>
    </xf>
    <xf numFmtId="44" fontId="6" fillId="0" borderId="5" xfId="0" applyNumberFormat="1" applyFont="1" applyBorder="1" applyAlignment="1">
      <alignment horizontal="center" vertical="center"/>
    </xf>
    <xf numFmtId="44" fontId="6" fillId="0" borderId="5" xfId="0" applyNumberFormat="1" applyFont="1" applyBorder="1" applyAlignment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6" fillId="0" borderId="7" xfId="0" quotePrefix="1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8" fillId="0" borderId="7" xfId="0" quotePrefix="1" applyFont="1" applyBorder="1" applyAlignment="1">
      <alignment horizontal="center"/>
    </xf>
    <xf numFmtId="165" fontId="6" fillId="0" borderId="7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44" fontId="6" fillId="0" borderId="7" xfId="0" applyNumberFormat="1" applyFont="1" applyBorder="1" applyAlignment="1">
      <alignment horizontal="center" vertical="center"/>
    </xf>
    <xf numFmtId="44" fontId="6" fillId="0" borderId="7" xfId="0" applyNumberFormat="1" applyFont="1" applyBorder="1" applyAlignment="1"/>
    <xf numFmtId="0" fontId="9" fillId="0" borderId="7" xfId="1" applyFont="1" applyBorder="1" applyAlignment="1">
      <alignment horizontal="center" vertical="center"/>
    </xf>
    <xf numFmtId="0" fontId="6" fillId="0" borderId="10" xfId="0" quotePrefix="1" applyFont="1" applyBorder="1" applyAlignment="1">
      <alignment vertical="center" wrapText="1"/>
    </xf>
    <xf numFmtId="0" fontId="6" fillId="0" borderId="11" xfId="0" quotePrefix="1" applyFont="1" applyBorder="1" applyAlignment="1">
      <alignment horizontal="center" vertical="center" wrapText="1"/>
    </xf>
    <xf numFmtId="0" fontId="8" fillId="0" borderId="11" xfId="0" quotePrefix="1" applyFont="1" applyBorder="1" applyAlignment="1">
      <alignment horizontal="center"/>
    </xf>
    <xf numFmtId="0" fontId="6" fillId="0" borderId="11" xfId="0" applyFont="1" applyBorder="1" applyAlignment="1">
      <alignment horizontal="center" vertical="center" wrapText="1"/>
    </xf>
    <xf numFmtId="165" fontId="6" fillId="0" borderId="11" xfId="0" applyNumberFormat="1" applyFont="1" applyBorder="1" applyAlignment="1">
      <alignment horizontal="center" vertical="center" wrapText="1"/>
    </xf>
    <xf numFmtId="44" fontId="6" fillId="0" borderId="11" xfId="0" applyNumberFormat="1" applyFont="1" applyBorder="1" applyAlignment="1">
      <alignment horizontal="center" vertical="center" wrapText="1"/>
    </xf>
    <xf numFmtId="165" fontId="6" fillId="0" borderId="11" xfId="0" applyNumberFormat="1" applyFont="1" applyBorder="1" applyAlignment="1">
      <alignment horizontal="center" vertical="center"/>
    </xf>
    <xf numFmtId="0" fontId="6" fillId="0" borderId="13" xfId="0" quotePrefix="1" applyFont="1" applyBorder="1" applyAlignment="1">
      <alignment vertical="center" wrapText="1"/>
    </xf>
    <xf numFmtId="0" fontId="6" fillId="0" borderId="15" xfId="0" quotePrefix="1" applyFont="1" applyBorder="1" applyAlignment="1">
      <alignment vertical="center" wrapText="1"/>
    </xf>
    <xf numFmtId="0" fontId="6" fillId="0" borderId="16" xfId="0" quotePrefix="1" applyFont="1" applyBorder="1" applyAlignment="1">
      <alignment horizontal="center" vertical="center" wrapText="1"/>
    </xf>
    <xf numFmtId="0" fontId="8" fillId="0" borderId="16" xfId="0" quotePrefix="1" applyFont="1" applyBorder="1" applyAlignment="1">
      <alignment horizontal="center"/>
    </xf>
    <xf numFmtId="0" fontId="6" fillId="0" borderId="16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18" xfId="0" quotePrefix="1" applyFont="1" applyBorder="1" applyAlignment="1">
      <alignment vertical="center" wrapText="1"/>
    </xf>
    <xf numFmtId="0" fontId="6" fillId="0" borderId="19" xfId="0" quotePrefix="1" applyFont="1" applyBorder="1" applyAlignment="1">
      <alignment horizontal="center" vertical="center" wrapText="1"/>
    </xf>
    <xf numFmtId="0" fontId="8" fillId="0" borderId="19" xfId="0" quotePrefix="1" applyFont="1" applyBorder="1" applyAlignment="1">
      <alignment horizontal="center"/>
    </xf>
    <xf numFmtId="0" fontId="6" fillId="0" borderId="19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/>
    </xf>
    <xf numFmtId="0" fontId="4" fillId="0" borderId="19" xfId="1" applyBorder="1" applyAlignment="1">
      <alignment horizontal="center" vertical="center"/>
    </xf>
    <xf numFmtId="165" fontId="6" fillId="0" borderId="19" xfId="0" applyNumberFormat="1" applyFont="1" applyBorder="1" applyAlignment="1">
      <alignment horizontal="center" vertical="center"/>
    </xf>
    <xf numFmtId="44" fontId="6" fillId="0" borderId="19" xfId="0" applyNumberFormat="1" applyFont="1" applyBorder="1" applyAlignment="1">
      <alignment horizontal="center" vertical="center"/>
    </xf>
    <xf numFmtId="44" fontId="6" fillId="0" borderId="19" xfId="0" applyNumberFormat="1" applyFont="1" applyBorder="1" applyAlignment="1"/>
    <xf numFmtId="0" fontId="6" fillId="0" borderId="15" xfId="0" quotePrefix="1" applyFont="1" applyBorder="1" applyAlignment="1">
      <alignment vertical="center"/>
    </xf>
    <xf numFmtId="0" fontId="6" fillId="0" borderId="16" xfId="0" quotePrefix="1" applyFont="1" applyBorder="1" applyAlignment="1">
      <alignment horizontal="center" vertical="center"/>
    </xf>
    <xf numFmtId="165" fontId="6" fillId="0" borderId="16" xfId="0" applyNumberFormat="1" applyFont="1" applyBorder="1" applyAlignment="1">
      <alignment horizontal="center" vertical="center"/>
    </xf>
    <xf numFmtId="44" fontId="6" fillId="0" borderId="16" xfId="0" applyNumberFormat="1" applyFont="1" applyBorder="1" applyAlignment="1">
      <alignment horizontal="center" vertical="center"/>
    </xf>
    <xf numFmtId="44" fontId="6" fillId="0" borderId="16" xfId="0" applyNumberFormat="1" applyFont="1" applyBorder="1" applyAlignment="1"/>
    <xf numFmtId="0" fontId="6" fillId="0" borderId="21" xfId="0" quotePrefix="1" applyFont="1" applyBorder="1" applyAlignment="1">
      <alignment vertical="center" wrapText="1"/>
    </xf>
    <xf numFmtId="0" fontId="6" fillId="0" borderId="11" xfId="0" applyFont="1" applyBorder="1" applyAlignment="1">
      <alignment horizontal="center" vertical="center"/>
    </xf>
    <xf numFmtId="44" fontId="6" fillId="0" borderId="11" xfId="0" applyNumberFormat="1" applyFont="1" applyBorder="1" applyAlignment="1">
      <alignment horizontal="center" vertical="center"/>
    </xf>
    <xf numFmtId="44" fontId="6" fillId="0" borderId="11" xfId="0" applyNumberFormat="1" applyFont="1" applyBorder="1" applyAlignment="1"/>
    <xf numFmtId="165" fontId="6" fillId="0" borderId="16" xfId="0" applyNumberFormat="1" applyFont="1" applyBorder="1" applyAlignment="1">
      <alignment horizontal="center" vertical="center" wrapText="1"/>
    </xf>
    <xf numFmtId="0" fontId="6" fillId="0" borderId="23" xfId="0" quotePrefix="1" applyFont="1" applyBorder="1" applyAlignment="1">
      <alignment vertical="center" wrapText="1"/>
    </xf>
    <xf numFmtId="0" fontId="6" fillId="0" borderId="24" xfId="0" quotePrefix="1" applyFont="1" applyBorder="1" applyAlignment="1">
      <alignment horizontal="center" vertical="center" wrapText="1"/>
    </xf>
    <xf numFmtId="0" fontId="8" fillId="0" borderId="24" xfId="0" quotePrefix="1" applyFont="1" applyBorder="1" applyAlignment="1">
      <alignment horizontal="center"/>
    </xf>
    <xf numFmtId="0" fontId="6" fillId="0" borderId="24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/>
    </xf>
    <xf numFmtId="165" fontId="6" fillId="0" borderId="24" xfId="0" applyNumberFormat="1" applyFont="1" applyBorder="1" applyAlignment="1">
      <alignment horizontal="center" vertical="center"/>
    </xf>
    <xf numFmtId="44" fontId="6" fillId="0" borderId="24" xfId="0" applyNumberFormat="1" applyFont="1" applyBorder="1" applyAlignment="1">
      <alignment horizontal="center" vertical="center"/>
    </xf>
    <xf numFmtId="44" fontId="6" fillId="0" borderId="24" xfId="0" applyNumberFormat="1" applyFont="1" applyBorder="1" applyAlignment="1"/>
    <xf numFmtId="0" fontId="9" fillId="0" borderId="11" xfId="1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4" xfId="0" applyFont="1" applyBorder="1" applyAlignment="1"/>
    <xf numFmtId="0" fontId="9" fillId="0" borderId="16" xfId="1" applyFont="1" applyBorder="1" applyAlignment="1">
      <alignment horizontal="center" vertical="center"/>
    </xf>
    <xf numFmtId="0" fontId="6" fillId="0" borderId="17" xfId="0" applyFont="1" applyBorder="1" applyAlignment="1"/>
    <xf numFmtId="0" fontId="6" fillId="0" borderId="22" xfId="0" applyFont="1" applyBorder="1" applyAlignment="1"/>
    <xf numFmtId="0" fontId="9" fillId="0" borderId="11" xfId="1" applyFont="1" applyBorder="1" applyAlignment="1">
      <alignment horizontal="center" vertical="center"/>
    </xf>
    <xf numFmtId="0" fontId="6" fillId="0" borderId="12" xfId="0" applyFont="1" applyBorder="1" applyAlignment="1"/>
    <xf numFmtId="0" fontId="6" fillId="0" borderId="17" xfId="0" applyFont="1" applyBorder="1" applyAlignment="1">
      <alignment wrapText="1"/>
    </xf>
    <xf numFmtId="0" fontId="6" fillId="3" borderId="13" xfId="0" quotePrefix="1" applyFont="1" applyFill="1" applyBorder="1" applyAlignment="1">
      <alignment vertical="center" wrapText="1"/>
    </xf>
    <xf numFmtId="0" fontId="6" fillId="3" borderId="7" xfId="0" quotePrefix="1" applyFont="1" applyFill="1" applyBorder="1" applyAlignment="1">
      <alignment horizontal="center" vertical="center" wrapText="1"/>
    </xf>
    <xf numFmtId="0" fontId="4" fillId="0" borderId="24" xfId="1" applyBorder="1" applyAlignment="1">
      <alignment horizontal="center" vertical="center"/>
    </xf>
    <xf numFmtId="0" fontId="5" fillId="3" borderId="2" xfId="0" applyFont="1" applyFill="1" applyBorder="1" applyAlignment="1">
      <alignment horizontal="center" wrapText="1"/>
    </xf>
    <xf numFmtId="0" fontId="5" fillId="3" borderId="0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1" fillId="4" borderId="13" xfId="0" quotePrefix="1" applyFont="1" applyFill="1" applyBorder="1" applyAlignment="1">
      <alignment vertical="center" wrapText="1"/>
    </xf>
    <xf numFmtId="0" fontId="11" fillId="4" borderId="7" xfId="0" quotePrefix="1" applyFont="1" applyFill="1" applyBorder="1" applyAlignment="1">
      <alignment horizontal="center" vertical="center" wrapText="1"/>
    </xf>
    <xf numFmtId="0" fontId="11" fillId="4" borderId="7" xfId="0" quotePrefix="1" applyFont="1" applyFill="1" applyBorder="1" applyAlignment="1">
      <alignment horizontal="center"/>
    </xf>
    <xf numFmtId="0" fontId="11" fillId="4" borderId="7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/>
    </xf>
    <xf numFmtId="0" fontId="11" fillId="4" borderId="15" xfId="0" quotePrefix="1" applyFont="1" applyFill="1" applyBorder="1" applyAlignment="1">
      <alignment vertical="center" wrapText="1"/>
    </xf>
    <xf numFmtId="0" fontId="11" fillId="4" borderId="16" xfId="0" quotePrefix="1" applyFont="1" applyFill="1" applyBorder="1" applyAlignment="1">
      <alignment horizontal="center" vertical="center" wrapText="1"/>
    </xf>
    <xf numFmtId="0" fontId="11" fillId="4" borderId="26" xfId="0" applyFont="1" applyFill="1" applyBorder="1" applyAlignment="1">
      <alignment horizontal="center" vertical="center" wrapText="1"/>
    </xf>
    <xf numFmtId="0" fontId="11" fillId="4" borderId="16" xfId="0" quotePrefix="1" applyFont="1" applyFill="1" applyBorder="1" applyAlignment="1">
      <alignment horizontal="center"/>
    </xf>
    <xf numFmtId="0" fontId="11" fillId="4" borderId="16" xfId="0" applyFont="1" applyFill="1" applyBorder="1" applyAlignment="1">
      <alignment horizontal="center" vertical="center" wrapText="1"/>
    </xf>
    <xf numFmtId="0" fontId="11" fillId="4" borderId="16" xfId="0" applyFont="1" applyFill="1" applyBorder="1" applyAlignment="1">
      <alignment horizontal="center" vertical="center"/>
    </xf>
    <xf numFmtId="0" fontId="12" fillId="4" borderId="17" xfId="0" quotePrefix="1" applyFont="1" applyFill="1" applyBorder="1" applyAlignment="1">
      <alignment horizontal="center"/>
    </xf>
    <xf numFmtId="0" fontId="12" fillId="4" borderId="14" xfId="0" applyFont="1" applyFill="1" applyBorder="1" applyAlignment="1">
      <alignment horizontal="center"/>
    </xf>
    <xf numFmtId="0" fontId="10" fillId="0" borderId="20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walsin-technology-corporation/0805B104K500CT/6707556?s=N4IgTCBcDaIAwA44FYBCBGOAWA0sucAwgCogC6AvkA" TargetMode="External"/><Relationship Id="rId3" Type="http://schemas.openxmlformats.org/officeDocument/2006/relationships/hyperlink" Target="https://www.digikey.com/en/products/detail/w%C3%BCrth-elektronik/150080GS75000/4489915?s=N4IgTCBcDaIIwFYAMSAcSDiBlA7MlIAugL5A" TargetMode="External"/><Relationship Id="rId7" Type="http://schemas.openxmlformats.org/officeDocument/2006/relationships/hyperlink" Target="https://lcsc.com/product-detail/Wire-To-Board-Wire-To-Wire-Connector_JST-Sales-America-S3B-XH-A-1-LF-SN_C163036.html" TargetMode="External"/><Relationship Id="rId2" Type="http://schemas.openxmlformats.org/officeDocument/2006/relationships/hyperlink" Target="https://www.digikey.com/en/products/detail/yageo/CC0805JRNPO9BN220/302837" TargetMode="External"/><Relationship Id="rId1" Type="http://schemas.openxmlformats.org/officeDocument/2006/relationships/hyperlink" Target="https://www.digikey.com/en/products/detail/yageo/CC0603KRX5R8BB105/2833610?s=N4IgTCBcDaIMJwAwDZEGYDSAlAGgViwA4AhYgRkTxAF0BfIA" TargetMode="External"/><Relationship Id="rId6" Type="http://schemas.openxmlformats.org/officeDocument/2006/relationships/hyperlink" Target="https://www.digikey.com/en/products/detail/w%C3%BCrth-elektronik/61300311121/4846825?s=N4IgTCBcDaIGwEYDMAGFSGbAkBdAvkA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.digikey.com/en/products/detail/bourns-inc/CR0805-JW-102ELF/3593156" TargetMode="External"/><Relationship Id="rId10" Type="http://schemas.openxmlformats.org/officeDocument/2006/relationships/hyperlink" Target="https://eu.mouser.com/ProductDetail/Torex-Semiconductor/XC6206P332MR-G?qs=%2Fha2pyFadujKR1ng7kOnkrLCgmYNZMjmyoLAOe2lUC8y%252B6Aut0IbWQ%3D%3D" TargetMode="External"/><Relationship Id="rId4" Type="http://schemas.openxmlformats.org/officeDocument/2006/relationships/hyperlink" Target="https://www.digikey.com/en/products/detail/yageo/RC0805FR-075K6L/728002" TargetMode="External"/><Relationship Id="rId9" Type="http://schemas.openxmlformats.org/officeDocument/2006/relationships/hyperlink" Target="https://www.digikey.com/en/products/detail/microchip-technology/ATTINY1616-MNR/7354618?s=N4IgTCBcDaIIIBUEEkByBNAjANhwWgFlUAlEAXQF8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16"/>
  <sheetViews>
    <sheetView tabSelected="1" topLeftCell="B1" zoomScale="78" zoomScaleNormal="78" workbookViewId="0">
      <selection activeCell="C12" sqref="C12"/>
    </sheetView>
  </sheetViews>
  <sheetFormatPr defaultRowHeight="15" x14ac:dyDescent="0.25"/>
  <cols>
    <col min="1" max="1" width="6.140625" bestFit="1" customWidth="1"/>
    <col min="2" max="2" width="16.5703125" customWidth="1"/>
    <col min="3" max="3" width="54.140625" customWidth="1"/>
    <col min="4" max="4" width="25.5703125" bestFit="1" customWidth="1"/>
    <col min="5" max="5" width="20.140625" bestFit="1" customWidth="1"/>
    <col min="6" max="6" width="28" customWidth="1"/>
    <col min="7" max="7" width="23.7109375" bestFit="1" customWidth="1"/>
    <col min="8" max="8" width="21.7109375" bestFit="1" customWidth="1"/>
    <col min="9" max="9" width="10.28515625" bestFit="1" customWidth="1"/>
    <col min="10" max="10" width="19.42578125" bestFit="1" customWidth="1"/>
    <col min="11" max="11" width="13.42578125" bestFit="1" customWidth="1"/>
    <col min="12" max="13" width="13.42578125" customWidth="1"/>
    <col min="14" max="14" width="13.42578125" bestFit="1" customWidth="1"/>
    <col min="15" max="15" width="13.140625" bestFit="1" customWidth="1"/>
    <col min="16" max="16" width="12.140625" bestFit="1" customWidth="1"/>
    <col min="17" max="17" width="18.7109375" bestFit="1" customWidth="1"/>
    <col min="18" max="18" width="12.5703125" bestFit="1" customWidth="1"/>
    <col min="19" max="19" width="14.7109375" bestFit="1" customWidth="1"/>
    <col min="20" max="20" width="15.28515625" bestFit="1" customWidth="1"/>
    <col min="21" max="21" width="14.7109375" bestFit="1" customWidth="1"/>
    <col min="22" max="22" width="19.5703125" customWidth="1"/>
    <col min="23" max="23" width="26" bestFit="1" customWidth="1"/>
  </cols>
  <sheetData>
    <row r="1" spans="1:40" ht="16.5" thickBot="1" x14ac:dyDescent="0.3">
      <c r="A1" s="81" t="s">
        <v>30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</row>
    <row r="2" spans="1:40" ht="15.75" thickBot="1" x14ac:dyDescent="0.3">
      <c r="A2" s="1" t="s">
        <v>3</v>
      </c>
      <c r="B2" s="5" t="s">
        <v>4</v>
      </c>
      <c r="C2" s="5" t="s">
        <v>0</v>
      </c>
      <c r="D2" s="5" t="s">
        <v>1</v>
      </c>
      <c r="E2" s="5" t="s">
        <v>5</v>
      </c>
      <c r="F2" s="5" t="s">
        <v>17</v>
      </c>
      <c r="G2" s="5" t="s">
        <v>2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22</v>
      </c>
      <c r="M2" s="5" t="s">
        <v>23</v>
      </c>
      <c r="N2" s="5" t="s">
        <v>27</v>
      </c>
      <c r="O2" s="5" t="s">
        <v>10</v>
      </c>
      <c r="P2" s="5" t="s">
        <v>11</v>
      </c>
      <c r="Q2" s="5" t="s">
        <v>12</v>
      </c>
      <c r="R2" s="5" t="s">
        <v>13</v>
      </c>
      <c r="S2" s="5" t="s">
        <v>18</v>
      </c>
      <c r="T2" s="5" t="s">
        <v>19</v>
      </c>
      <c r="U2" s="5" t="s">
        <v>20</v>
      </c>
      <c r="V2" s="5" t="s">
        <v>21</v>
      </c>
      <c r="W2" s="5" t="s">
        <v>14</v>
      </c>
    </row>
    <row r="3" spans="1:40" s="7" customFormat="1" ht="15.75" thickBot="1" x14ac:dyDescent="0.3">
      <c r="A3" s="1">
        <v>1</v>
      </c>
      <c r="B3" s="83" t="s">
        <v>63</v>
      </c>
      <c r="C3" s="27" t="s">
        <v>31</v>
      </c>
      <c r="D3" s="28" t="s">
        <v>32</v>
      </c>
      <c r="E3" s="28" t="s">
        <v>33</v>
      </c>
      <c r="F3" s="28" t="s">
        <v>34</v>
      </c>
      <c r="G3" s="28" t="s">
        <v>35</v>
      </c>
      <c r="H3" s="29" t="s">
        <v>84</v>
      </c>
      <c r="I3" s="28" t="s">
        <v>49</v>
      </c>
      <c r="J3" s="30">
        <v>3</v>
      </c>
      <c r="K3" s="30">
        <f>J3*5</f>
        <v>15</v>
      </c>
      <c r="L3" s="30">
        <f>J3*1000</f>
        <v>3000</v>
      </c>
      <c r="M3" s="30">
        <f>J3*5000</f>
        <v>15000</v>
      </c>
      <c r="N3" s="67" t="s">
        <v>25</v>
      </c>
      <c r="O3" s="31">
        <v>0.12</v>
      </c>
      <c r="P3" s="32">
        <f>O3*J3</f>
        <v>0.36</v>
      </c>
      <c r="Q3" s="31">
        <v>8.4000000000000005E-2</v>
      </c>
      <c r="R3" s="32">
        <f>Q3*K3</f>
        <v>1.26</v>
      </c>
      <c r="S3" s="31">
        <v>2.2880000000000001E-2</v>
      </c>
      <c r="T3" s="32">
        <f>S3*L3</f>
        <v>68.64</v>
      </c>
      <c r="U3" s="33">
        <v>2.0160000000000001E-2</v>
      </c>
      <c r="V3" s="32">
        <f>U3*M3</f>
        <v>302.40000000000003</v>
      </c>
      <c r="W3" s="68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</row>
    <row r="4" spans="1:40" ht="15.75" thickBot="1" x14ac:dyDescent="0.3">
      <c r="A4" s="1">
        <f>A3+1</f>
        <v>2</v>
      </c>
      <c r="B4" s="84"/>
      <c r="C4" s="34" t="s">
        <v>36</v>
      </c>
      <c r="D4" s="18" t="s">
        <v>37</v>
      </c>
      <c r="E4" s="18" t="s">
        <v>38</v>
      </c>
      <c r="F4" s="18" t="s">
        <v>39</v>
      </c>
      <c r="G4" s="18" t="s">
        <v>40</v>
      </c>
      <c r="H4" s="21" t="s">
        <v>84</v>
      </c>
      <c r="I4" s="18" t="s">
        <v>50</v>
      </c>
      <c r="J4" s="19">
        <v>1</v>
      </c>
      <c r="K4" s="23">
        <f t="shared" ref="K4:K14" si="0">J4*5</f>
        <v>5</v>
      </c>
      <c r="L4" s="23">
        <f>J4*1000</f>
        <v>1000</v>
      </c>
      <c r="M4" s="23">
        <f>J4*5000</f>
        <v>5000</v>
      </c>
      <c r="N4" s="26" t="s">
        <v>25</v>
      </c>
      <c r="O4" s="22">
        <v>0.12</v>
      </c>
      <c r="P4" s="24">
        <f>O4*J4</f>
        <v>0.12</v>
      </c>
      <c r="Q4" s="22">
        <v>0.12</v>
      </c>
      <c r="R4" s="24">
        <f>Q4*K4</f>
        <v>0.6</v>
      </c>
      <c r="S4" s="22">
        <v>2.3519999999999999E-2</v>
      </c>
      <c r="T4" s="24">
        <f>S4*L4</f>
        <v>23.52</v>
      </c>
      <c r="U4" s="22">
        <v>1.864E-2</v>
      </c>
      <c r="V4" s="25">
        <f>U4*M4</f>
        <v>93.2</v>
      </c>
      <c r="W4" s="69"/>
    </row>
    <row r="5" spans="1:40" s="17" customFormat="1" ht="15.75" thickBot="1" x14ac:dyDescent="0.3">
      <c r="A5" s="1">
        <v>3</v>
      </c>
      <c r="B5" s="85"/>
      <c r="C5" s="49" t="s">
        <v>41</v>
      </c>
      <c r="D5" s="50" t="s">
        <v>42</v>
      </c>
      <c r="E5" s="50" t="s">
        <v>38</v>
      </c>
      <c r="F5" s="50" t="s">
        <v>43</v>
      </c>
      <c r="G5" s="50" t="s">
        <v>35</v>
      </c>
      <c r="H5" s="37" t="s">
        <v>86</v>
      </c>
      <c r="I5" s="50" t="s">
        <v>51</v>
      </c>
      <c r="J5" s="38">
        <v>6</v>
      </c>
      <c r="K5" s="39">
        <f>J5*5</f>
        <v>30</v>
      </c>
      <c r="L5" s="39">
        <f>J5*1000</f>
        <v>6000</v>
      </c>
      <c r="M5" s="39">
        <f>J5*5000</f>
        <v>30000</v>
      </c>
      <c r="N5" s="70" t="s">
        <v>25</v>
      </c>
      <c r="O5" s="51">
        <v>0.11</v>
      </c>
      <c r="P5" s="52">
        <f>O5*J5</f>
        <v>0.66</v>
      </c>
      <c r="Q5" s="51">
        <v>7.8E-2</v>
      </c>
      <c r="R5" s="52">
        <f>Q5*K5</f>
        <v>2.34</v>
      </c>
      <c r="S5" s="51">
        <v>1.7440000000000001E-2</v>
      </c>
      <c r="T5" s="52">
        <f>S5*L5</f>
        <v>104.64</v>
      </c>
      <c r="U5" s="51">
        <v>1.6584000000000002E-2</v>
      </c>
      <c r="V5" s="53">
        <f>U5*M5</f>
        <v>497.52000000000004</v>
      </c>
      <c r="W5" s="71"/>
    </row>
    <row r="6" spans="1:40" ht="15.75" thickBot="1" x14ac:dyDescent="0.3">
      <c r="A6" s="1">
        <v>4</v>
      </c>
      <c r="B6" s="20" t="s">
        <v>26</v>
      </c>
      <c r="C6" s="54" t="s">
        <v>44</v>
      </c>
      <c r="D6" s="8" t="s">
        <v>45</v>
      </c>
      <c r="E6" s="8" t="s">
        <v>46</v>
      </c>
      <c r="F6" s="8" t="s">
        <v>47</v>
      </c>
      <c r="G6" s="8" t="s">
        <v>48</v>
      </c>
      <c r="H6" s="9" t="s">
        <v>84</v>
      </c>
      <c r="I6" s="9" t="s">
        <v>84</v>
      </c>
      <c r="J6" s="10">
        <v>1</v>
      </c>
      <c r="K6" s="11">
        <f t="shared" ref="K6:K13" si="1">J6*5</f>
        <v>5</v>
      </c>
      <c r="L6" s="11">
        <f t="shared" ref="L6:L13" si="2">J6*1000</f>
        <v>1000</v>
      </c>
      <c r="M6" s="11">
        <f t="shared" ref="M6:M13" si="3">J6*5000</f>
        <v>5000</v>
      </c>
      <c r="N6" s="12" t="s">
        <v>25</v>
      </c>
      <c r="O6" s="13">
        <v>0.18</v>
      </c>
      <c r="P6" s="14">
        <f t="shared" ref="P6:P12" si="4">O6*J6</f>
        <v>0.18</v>
      </c>
      <c r="Q6" s="13">
        <v>0.18</v>
      </c>
      <c r="R6" s="14">
        <f t="shared" ref="R6:R12" si="5">Q6*K6</f>
        <v>0.89999999999999991</v>
      </c>
      <c r="S6" s="13">
        <v>0.123</v>
      </c>
      <c r="T6" s="14">
        <f t="shared" ref="T6:T12" si="6">S6*L6</f>
        <v>123</v>
      </c>
      <c r="U6" s="13">
        <v>0.123</v>
      </c>
      <c r="V6" s="15">
        <f t="shared" ref="V6:V12" si="7">U6*M6</f>
        <v>615</v>
      </c>
      <c r="W6" s="72"/>
    </row>
    <row r="7" spans="1:40" ht="15.75" thickBot="1" x14ac:dyDescent="0.3">
      <c r="A7" s="1">
        <v>5</v>
      </c>
      <c r="B7" s="86" t="s">
        <v>64</v>
      </c>
      <c r="C7" s="27" t="s">
        <v>52</v>
      </c>
      <c r="D7" s="28" t="s">
        <v>53</v>
      </c>
      <c r="E7" s="28" t="s">
        <v>54</v>
      </c>
      <c r="F7" s="28" t="s">
        <v>55</v>
      </c>
      <c r="G7" s="28" t="s">
        <v>56</v>
      </c>
      <c r="H7" s="29" t="s">
        <v>87</v>
      </c>
      <c r="I7" s="28" t="s">
        <v>61</v>
      </c>
      <c r="J7" s="30">
        <v>3</v>
      </c>
      <c r="K7" s="55">
        <f t="shared" si="1"/>
        <v>15</v>
      </c>
      <c r="L7" s="55">
        <f t="shared" si="2"/>
        <v>3000</v>
      </c>
      <c r="M7" s="55">
        <f t="shared" si="3"/>
        <v>15000</v>
      </c>
      <c r="N7" s="73" t="s">
        <v>25</v>
      </c>
      <c r="O7" s="33">
        <v>0.1</v>
      </c>
      <c r="P7" s="56">
        <f t="shared" si="4"/>
        <v>0.30000000000000004</v>
      </c>
      <c r="Q7" s="33">
        <v>4.2000000000000003E-2</v>
      </c>
      <c r="R7" s="56">
        <f t="shared" si="5"/>
        <v>0.63</v>
      </c>
      <c r="S7" s="33">
        <v>6.5900000000000004E-3</v>
      </c>
      <c r="T7" s="56">
        <f t="shared" si="6"/>
        <v>19.77</v>
      </c>
      <c r="U7" s="33">
        <v>5.4400000000000004E-3</v>
      </c>
      <c r="V7" s="57">
        <f t="shared" si="7"/>
        <v>81.600000000000009</v>
      </c>
      <c r="W7" s="74"/>
    </row>
    <row r="8" spans="1:40" s="7" customFormat="1" ht="15.75" thickBot="1" x14ac:dyDescent="0.3">
      <c r="A8" s="16">
        <v>6</v>
      </c>
      <c r="B8" s="87"/>
      <c r="C8" s="35" t="s">
        <v>57</v>
      </c>
      <c r="D8" s="36" t="s">
        <v>58</v>
      </c>
      <c r="E8" s="36" t="s">
        <v>54</v>
      </c>
      <c r="F8" s="36" t="s">
        <v>59</v>
      </c>
      <c r="G8" s="36" t="s">
        <v>60</v>
      </c>
      <c r="H8" s="37" t="s">
        <v>88</v>
      </c>
      <c r="I8" s="36" t="s">
        <v>62</v>
      </c>
      <c r="J8" s="38">
        <v>7</v>
      </c>
      <c r="K8" s="39">
        <f t="shared" si="1"/>
        <v>35</v>
      </c>
      <c r="L8" s="39">
        <f t="shared" si="2"/>
        <v>7000</v>
      </c>
      <c r="M8" s="39">
        <f t="shared" si="3"/>
        <v>35000</v>
      </c>
      <c r="N8" s="70" t="s">
        <v>25</v>
      </c>
      <c r="O8" s="58">
        <v>0.1</v>
      </c>
      <c r="P8" s="52">
        <f t="shared" si="4"/>
        <v>0.70000000000000007</v>
      </c>
      <c r="Q8" s="58">
        <v>2.1999999999999999E-2</v>
      </c>
      <c r="R8" s="52">
        <f t="shared" si="5"/>
        <v>0.76999999999999991</v>
      </c>
      <c r="S8" s="58">
        <v>3.16E-3</v>
      </c>
      <c r="T8" s="52">
        <f t="shared" si="6"/>
        <v>22.12</v>
      </c>
      <c r="U8" s="51">
        <v>2.8400000000000001E-3</v>
      </c>
      <c r="V8" s="53">
        <f t="shared" si="7"/>
        <v>99.4</v>
      </c>
      <c r="W8" s="75"/>
    </row>
    <row r="9" spans="1:40" ht="15.75" thickBot="1" x14ac:dyDescent="0.3">
      <c r="A9" s="1">
        <v>7</v>
      </c>
      <c r="B9" s="88" t="s">
        <v>83</v>
      </c>
      <c r="C9" s="40" t="s">
        <v>65</v>
      </c>
      <c r="D9" s="41" t="s">
        <v>66</v>
      </c>
      <c r="E9" s="41" t="s">
        <v>67</v>
      </c>
      <c r="F9" s="41" t="s">
        <v>68</v>
      </c>
      <c r="G9" s="41" t="s">
        <v>69</v>
      </c>
      <c r="H9" s="42" t="s">
        <v>28</v>
      </c>
      <c r="I9" s="42" t="s">
        <v>84</v>
      </c>
      <c r="J9" s="43">
        <v>1</v>
      </c>
      <c r="K9" s="44">
        <f t="shared" si="1"/>
        <v>5</v>
      </c>
      <c r="L9" s="44">
        <f t="shared" si="2"/>
        <v>1000</v>
      </c>
      <c r="M9" s="44">
        <f t="shared" si="3"/>
        <v>5000</v>
      </c>
      <c r="N9" s="45" t="s">
        <v>25</v>
      </c>
      <c r="O9" s="46">
        <v>0.86</v>
      </c>
      <c r="P9" s="47">
        <f t="shared" si="4"/>
        <v>0.86</v>
      </c>
      <c r="Q9" s="58">
        <v>0.86</v>
      </c>
      <c r="R9" s="47">
        <f t="shared" si="5"/>
        <v>4.3</v>
      </c>
      <c r="S9" s="46">
        <v>0.72</v>
      </c>
      <c r="T9" s="47">
        <f t="shared" si="6"/>
        <v>720</v>
      </c>
      <c r="U9" s="46">
        <v>0.72</v>
      </c>
      <c r="V9" s="48">
        <f t="shared" si="7"/>
        <v>3600</v>
      </c>
      <c r="W9" s="106" t="s">
        <v>98</v>
      </c>
    </row>
    <row r="10" spans="1:40" ht="15.75" thickBot="1" x14ac:dyDescent="0.3">
      <c r="A10" s="1">
        <v>8</v>
      </c>
      <c r="B10" s="88"/>
      <c r="C10" s="59" t="s">
        <v>70</v>
      </c>
      <c r="D10" s="60" t="s">
        <v>71</v>
      </c>
      <c r="E10" s="60" t="s">
        <v>72</v>
      </c>
      <c r="F10" s="60" t="s">
        <v>73</v>
      </c>
      <c r="G10" s="60" t="s">
        <v>74</v>
      </c>
      <c r="H10" s="61" t="s">
        <v>95</v>
      </c>
      <c r="I10" s="61" t="s">
        <v>85</v>
      </c>
      <c r="J10" s="62">
        <v>1</v>
      </c>
      <c r="K10" s="63">
        <f t="shared" si="1"/>
        <v>5</v>
      </c>
      <c r="L10" s="63">
        <f t="shared" si="2"/>
        <v>1000</v>
      </c>
      <c r="M10" s="63">
        <f t="shared" si="3"/>
        <v>5000</v>
      </c>
      <c r="N10" s="78" t="s">
        <v>96</v>
      </c>
      <c r="O10" s="64">
        <v>0.66</v>
      </c>
      <c r="P10" s="65">
        <f t="shared" si="4"/>
        <v>0.66</v>
      </c>
      <c r="Q10" s="64">
        <v>0.66</v>
      </c>
      <c r="R10" s="65">
        <f t="shared" si="5"/>
        <v>3.3000000000000003</v>
      </c>
      <c r="S10" s="64">
        <v>0.28000000000000003</v>
      </c>
      <c r="T10" s="65">
        <f t="shared" si="6"/>
        <v>280</v>
      </c>
      <c r="U10" s="64">
        <v>0.252</v>
      </c>
      <c r="V10" s="66">
        <f t="shared" si="7"/>
        <v>1260</v>
      </c>
      <c r="W10" s="106" t="s">
        <v>98</v>
      </c>
    </row>
    <row r="11" spans="1:40" ht="15.75" thickBot="1" x14ac:dyDescent="0.3">
      <c r="A11" s="1">
        <v>9</v>
      </c>
      <c r="B11" s="89" t="s">
        <v>29</v>
      </c>
      <c r="C11" s="27" t="s">
        <v>75</v>
      </c>
      <c r="D11" s="28" t="s">
        <v>76</v>
      </c>
      <c r="E11" s="28" t="s">
        <v>24</v>
      </c>
      <c r="F11" s="28">
        <v>61300311121</v>
      </c>
      <c r="G11" s="28" t="s">
        <v>48</v>
      </c>
      <c r="H11" s="29" t="s">
        <v>94</v>
      </c>
      <c r="I11" s="29" t="s">
        <v>85</v>
      </c>
      <c r="J11" s="30">
        <v>2</v>
      </c>
      <c r="K11" s="55">
        <f t="shared" si="1"/>
        <v>10</v>
      </c>
      <c r="L11" s="55">
        <f t="shared" si="2"/>
        <v>2000</v>
      </c>
      <c r="M11" s="55">
        <f t="shared" si="3"/>
        <v>10000</v>
      </c>
      <c r="N11" s="73" t="s">
        <v>25</v>
      </c>
      <c r="O11" s="33">
        <v>0.13</v>
      </c>
      <c r="P11" s="56">
        <f t="shared" si="4"/>
        <v>0.26</v>
      </c>
      <c r="Q11" s="33">
        <v>0.106</v>
      </c>
      <c r="R11" s="56">
        <f t="shared" si="5"/>
        <v>1.06</v>
      </c>
      <c r="S11" s="33">
        <v>6.2399999999999997E-2</v>
      </c>
      <c r="T11" s="56">
        <f t="shared" si="6"/>
        <v>124.8</v>
      </c>
      <c r="U11" s="33">
        <v>6.2399999999999997E-2</v>
      </c>
      <c r="V11" s="57">
        <f t="shared" si="7"/>
        <v>624</v>
      </c>
      <c r="W11" s="74"/>
    </row>
    <row r="12" spans="1:40" ht="15.75" thickBot="1" x14ac:dyDescent="0.3">
      <c r="A12" s="1">
        <v>10</v>
      </c>
      <c r="B12" s="90"/>
      <c r="C12" s="76" t="s">
        <v>89</v>
      </c>
      <c r="D12" s="77" t="s">
        <v>90</v>
      </c>
      <c r="E12" s="77" t="s">
        <v>24</v>
      </c>
      <c r="F12" s="77" t="s">
        <v>91</v>
      </c>
      <c r="G12" s="77" t="s">
        <v>92</v>
      </c>
      <c r="H12" s="21" t="s">
        <v>94</v>
      </c>
      <c r="I12" s="21"/>
      <c r="J12" s="19">
        <v>1</v>
      </c>
      <c r="K12" s="23">
        <f t="shared" si="1"/>
        <v>5</v>
      </c>
      <c r="L12" s="23">
        <f t="shared" si="2"/>
        <v>1000</v>
      </c>
      <c r="M12" s="23">
        <f t="shared" si="3"/>
        <v>5000</v>
      </c>
      <c r="N12" s="26" t="s">
        <v>93</v>
      </c>
      <c r="O12" s="22">
        <v>1.2</v>
      </c>
      <c r="P12" s="24">
        <f t="shared" si="4"/>
        <v>1.2</v>
      </c>
      <c r="Q12" s="22">
        <v>1</v>
      </c>
      <c r="R12" s="24">
        <f t="shared" si="5"/>
        <v>5</v>
      </c>
      <c r="S12" s="22">
        <v>0.7</v>
      </c>
      <c r="T12" s="24">
        <f t="shared" si="6"/>
        <v>700</v>
      </c>
      <c r="U12" s="22">
        <v>0.6</v>
      </c>
      <c r="V12" s="25">
        <f t="shared" si="7"/>
        <v>3000</v>
      </c>
      <c r="W12" s="69"/>
    </row>
    <row r="13" spans="1:40" ht="15.75" thickBot="1" x14ac:dyDescent="0.3">
      <c r="A13" s="1">
        <v>11</v>
      </c>
      <c r="B13" s="90"/>
      <c r="C13" s="93" t="s">
        <v>77</v>
      </c>
      <c r="D13" s="94" t="s">
        <v>78</v>
      </c>
      <c r="E13" s="94" t="s">
        <v>79</v>
      </c>
      <c r="F13" s="94" t="s">
        <v>79</v>
      </c>
      <c r="G13" s="94" t="s">
        <v>28</v>
      </c>
      <c r="H13" s="95" t="s">
        <v>94</v>
      </c>
      <c r="I13" s="95" t="s">
        <v>85</v>
      </c>
      <c r="J13" s="96">
        <v>6</v>
      </c>
      <c r="K13" s="97">
        <f t="shared" si="1"/>
        <v>30</v>
      </c>
      <c r="L13" s="97">
        <f t="shared" si="2"/>
        <v>6000</v>
      </c>
      <c r="M13" s="97">
        <f t="shared" si="3"/>
        <v>30000</v>
      </c>
      <c r="N13" s="95" t="s">
        <v>28</v>
      </c>
      <c r="O13" s="95" t="s">
        <v>28</v>
      </c>
      <c r="P13" s="95" t="s">
        <v>28</v>
      </c>
      <c r="Q13" s="95" t="s">
        <v>28</v>
      </c>
      <c r="R13" s="95" t="s">
        <v>28</v>
      </c>
      <c r="S13" s="95" t="s">
        <v>28</v>
      </c>
      <c r="T13" s="95" t="s">
        <v>28</v>
      </c>
      <c r="U13" s="95" t="s">
        <v>28</v>
      </c>
      <c r="V13" s="95" t="s">
        <v>28</v>
      </c>
      <c r="W13" s="105" t="s">
        <v>97</v>
      </c>
    </row>
    <row r="14" spans="1:40" ht="15.75" thickBot="1" x14ac:dyDescent="0.3">
      <c r="A14" s="92">
        <v>12</v>
      </c>
      <c r="B14" s="91"/>
      <c r="C14" s="98" t="s">
        <v>80</v>
      </c>
      <c r="D14" s="99" t="s">
        <v>81</v>
      </c>
      <c r="E14" s="100" t="s">
        <v>24</v>
      </c>
      <c r="F14" s="99" t="s">
        <v>82</v>
      </c>
      <c r="G14" s="99" t="s">
        <v>80</v>
      </c>
      <c r="H14" s="99" t="s">
        <v>94</v>
      </c>
      <c r="I14" s="101" t="s">
        <v>85</v>
      </c>
      <c r="J14" s="102">
        <v>2</v>
      </c>
      <c r="K14" s="103">
        <f t="shared" si="0"/>
        <v>10</v>
      </c>
      <c r="L14" s="103">
        <f>J14*1000</f>
        <v>2000</v>
      </c>
      <c r="M14" s="103">
        <f>J14*5000</f>
        <v>10000</v>
      </c>
      <c r="N14" s="101" t="s">
        <v>28</v>
      </c>
      <c r="O14" s="101" t="s">
        <v>28</v>
      </c>
      <c r="P14" s="101" t="s">
        <v>28</v>
      </c>
      <c r="Q14" s="101" t="s">
        <v>28</v>
      </c>
      <c r="R14" s="101" t="s">
        <v>28</v>
      </c>
      <c r="S14" s="101" t="s">
        <v>28</v>
      </c>
      <c r="T14" s="101" t="s">
        <v>28</v>
      </c>
      <c r="U14" s="101" t="s">
        <v>28</v>
      </c>
      <c r="V14" s="101" t="s">
        <v>28</v>
      </c>
      <c r="W14" s="104" t="s">
        <v>97</v>
      </c>
    </row>
    <row r="15" spans="1:40" ht="19.5" thickBot="1" x14ac:dyDescent="0.35">
      <c r="J15" s="79" t="s">
        <v>15</v>
      </c>
      <c r="K15" s="79"/>
      <c r="L15" s="79"/>
      <c r="M15" s="79"/>
      <c r="N15" s="79"/>
      <c r="O15" s="79"/>
      <c r="R15" s="3">
        <f>SUM(R3:R4)</f>
        <v>1.8599999999999999</v>
      </c>
      <c r="S15" s="3"/>
      <c r="T15" s="3">
        <f>SUM(T3:T4)</f>
        <v>92.16</v>
      </c>
      <c r="V15" s="6">
        <f>SUM(V3:V4)</f>
        <v>395.6</v>
      </c>
    </row>
    <row r="16" spans="1:40" ht="18.75" x14ac:dyDescent="0.3">
      <c r="J16" s="80" t="s">
        <v>16</v>
      </c>
      <c r="K16" s="80"/>
      <c r="L16" s="80"/>
      <c r="M16" s="80"/>
      <c r="N16" s="80"/>
      <c r="O16" s="80"/>
      <c r="P16" s="2">
        <f>SUM(P3:P4)</f>
        <v>0.48</v>
      </c>
      <c r="R16" s="4">
        <f>R15/5</f>
        <v>0.372</v>
      </c>
      <c r="S16" s="4"/>
      <c r="T16" s="4"/>
    </row>
  </sheetData>
  <mergeCells count="7">
    <mergeCell ref="J15:O15"/>
    <mergeCell ref="J16:O16"/>
    <mergeCell ref="A1:W1"/>
    <mergeCell ref="B3:B5"/>
    <mergeCell ref="B7:B8"/>
    <mergeCell ref="B9:B10"/>
    <mergeCell ref="B11:B14"/>
  </mergeCells>
  <phoneticPr fontId="7" type="noConversion"/>
  <conditionalFormatting sqref="J3:M1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:P12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{31993F18-4C5F-4176-9D23-BFACE9C28768}</x14:id>
        </ext>
      </extLst>
    </cfRule>
  </conditionalFormatting>
  <conditionalFormatting sqref="P16:T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{70EE1023-228D-423C-ADF5-29102BB53C0F}</x14:id>
        </ext>
      </extLst>
    </cfRule>
  </conditionalFormatting>
  <conditionalFormatting sqref="R3:T12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{BC439CAB-0450-4930-B07F-0CD52FB2A12C}</x14:id>
        </ext>
      </extLst>
    </cfRule>
  </conditionalFormatting>
  <conditionalFormatting sqref="V3:V1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:R1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N3" r:id="rId1" xr:uid="{00000000-0004-0000-0000-000000000000}"/>
    <hyperlink ref="N5" r:id="rId2" xr:uid="{00000000-0004-0000-0000-000001000000}"/>
    <hyperlink ref="N6" r:id="rId3" xr:uid="{00000000-0004-0000-0000-000002000000}"/>
    <hyperlink ref="N7" r:id="rId4" xr:uid="{00000000-0004-0000-0000-000003000000}"/>
    <hyperlink ref="N8" r:id="rId5" xr:uid="{00000000-0004-0000-0000-000004000000}"/>
    <hyperlink ref="N11" r:id="rId6" xr:uid="{00000000-0004-0000-0000-000005000000}"/>
    <hyperlink ref="N12" r:id="rId7" xr:uid="{00000000-0004-0000-0000-000006000000}"/>
    <hyperlink ref="N4" r:id="rId8" xr:uid="{00000000-0004-0000-0000-000007000000}"/>
    <hyperlink ref="N9" r:id="rId9" xr:uid="{00000000-0004-0000-0000-000008000000}"/>
    <hyperlink ref="N10" r:id="rId10" xr:uid="{00000000-0004-0000-0000-000009000000}"/>
  </hyperlinks>
  <printOptions horizontalCentered="1" verticalCentered="1"/>
  <pageMargins left="0.30555555555555558" right="0.30555555555555558" top="0.30555555555555558" bottom="0.30555555555555558" header="0" footer="0"/>
  <pageSetup scale="39" orientation="landscape" blackAndWhite="1" r:id="rId1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1993F18-4C5F-4176-9D23-BFACE9C287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P3:P12</xm:sqref>
        </x14:conditionalFormatting>
        <x14:conditionalFormatting xmlns:xm="http://schemas.microsoft.com/office/excel/2006/main">
          <x14:cfRule type="dataBar" id="{70EE1023-228D-423C-ADF5-29102BB53C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P16:T16</xm:sqref>
        </x14:conditionalFormatting>
        <x14:conditionalFormatting xmlns:xm="http://schemas.microsoft.com/office/excel/2006/main">
          <x14:cfRule type="dataBar" id="{BC439CAB-0450-4930-B07F-0CD52FB2A1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R3:T12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Touch_Board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</cp:lastModifiedBy>
  <dcterms:created xsi:type="dcterms:W3CDTF">2021-07-08T08:22:22Z</dcterms:created>
  <dcterms:modified xsi:type="dcterms:W3CDTF">2021-07-29T15:35:22Z</dcterms:modified>
</cp:coreProperties>
</file>