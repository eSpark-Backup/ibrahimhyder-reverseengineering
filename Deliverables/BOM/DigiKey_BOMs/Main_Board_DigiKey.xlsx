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6"/>
  <workbookPr/>
  <mc:AlternateContent xmlns:mc="http://schemas.openxmlformats.org/markup-compatibility/2006">
    <mc:Choice Requires="x15">
      <x15ac:absPath xmlns:x15ac="http://schemas.microsoft.com/office/spreadsheetml/2010/11/ac" url="F:\Github\IbrahimHyder-ReverseEngineering\Deliverables\BOM\DigiKey_BOMs\"/>
    </mc:Choice>
  </mc:AlternateContent>
  <xr:revisionPtr revIDLastSave="0" documentId="13_ncr:1_{95F819CE-D34C-4D47-A4A4-1050E26F422B}" xr6:coauthVersionLast="36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Ibrahim_Main_Board" sheetId="1" r:id="rId1"/>
  </sheets>
  <definedNames>
    <definedName name="_xlnm.Print_Titles" localSheetId="0">Ibrahim_Main_Board!#REF!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0" i="1" l="1"/>
  <c r="M34" i="1" l="1"/>
  <c r="K35" i="1"/>
  <c r="K34" i="1"/>
  <c r="O34" i="1" s="1"/>
  <c r="O16" i="1" l="1"/>
  <c r="M16" i="1"/>
  <c r="O9" i="1"/>
  <c r="O4" i="1"/>
  <c r="M4" i="1"/>
  <c r="K37" i="1"/>
  <c r="O37" i="1" s="1"/>
  <c r="M37" i="1"/>
  <c r="K36" i="1"/>
  <c r="O36" i="1" s="1"/>
  <c r="M36" i="1"/>
  <c r="K14" i="1"/>
  <c r="M14" i="1"/>
  <c r="O14" i="1"/>
  <c r="K15" i="1"/>
  <c r="M15" i="1"/>
  <c r="O15" i="1"/>
  <c r="K16" i="1"/>
  <c r="K17" i="1"/>
  <c r="M17" i="1"/>
  <c r="O17" i="1"/>
  <c r="K38" i="1"/>
  <c r="O38" i="1" s="1"/>
  <c r="M38" i="1"/>
  <c r="K18" i="1"/>
  <c r="O18" i="1" s="1"/>
  <c r="M18" i="1"/>
  <c r="K19" i="1"/>
  <c r="O19" i="1" s="1"/>
  <c r="M19" i="1"/>
  <c r="K20" i="1"/>
  <c r="O20" i="1" s="1"/>
  <c r="M20" i="1"/>
  <c r="K21" i="1"/>
  <c r="O21" i="1" s="1"/>
  <c r="M21" i="1"/>
  <c r="K22" i="1"/>
  <c r="O22" i="1" s="1"/>
  <c r="M22" i="1"/>
  <c r="K23" i="1"/>
  <c r="O23" i="1" s="1"/>
  <c r="M23" i="1"/>
  <c r="K24" i="1"/>
  <c r="O24" i="1" s="1"/>
  <c r="M24" i="1"/>
  <c r="K25" i="1"/>
  <c r="O25" i="1" s="1"/>
  <c r="M25" i="1"/>
  <c r="K26" i="1"/>
  <c r="O26" i="1" s="1"/>
  <c r="M26" i="1"/>
  <c r="K27" i="1"/>
  <c r="M27" i="1"/>
  <c r="O27" i="1"/>
  <c r="K28" i="1"/>
  <c r="O28" i="1" s="1"/>
  <c r="M28" i="1"/>
  <c r="K29" i="1"/>
  <c r="O29" i="1" s="1"/>
  <c r="M29" i="1"/>
  <c r="K30" i="1"/>
  <c r="O30" i="1" s="1"/>
  <c r="M30" i="1"/>
  <c r="K31" i="1"/>
  <c r="O31" i="1" s="1"/>
  <c r="M31" i="1"/>
  <c r="K32" i="1"/>
  <c r="O32" i="1" s="1"/>
  <c r="M32" i="1"/>
  <c r="K33" i="1"/>
  <c r="O33" i="1" s="1"/>
  <c r="M33" i="1"/>
  <c r="O11" i="1"/>
  <c r="M11" i="1"/>
  <c r="O10" i="1"/>
  <c r="O3" i="1"/>
  <c r="K5" i="1"/>
  <c r="O5" i="1" s="1"/>
  <c r="M5" i="1"/>
  <c r="K6" i="1"/>
  <c r="O6" i="1" s="1"/>
  <c r="M6" i="1"/>
  <c r="K7" i="1"/>
  <c r="O7" i="1" s="1"/>
  <c r="M7" i="1"/>
  <c r="K8" i="1"/>
  <c r="O8" i="1" s="1"/>
  <c r="M8" i="1"/>
  <c r="K9" i="1"/>
  <c r="M9" i="1"/>
  <c r="K10" i="1"/>
  <c r="M10" i="1"/>
  <c r="K11" i="1"/>
  <c r="K12" i="1"/>
  <c r="O12" i="1" s="1"/>
  <c r="M12" i="1"/>
  <c r="K13" i="1"/>
  <c r="O13" i="1" s="1"/>
  <c r="M13" i="1"/>
  <c r="M3" i="1"/>
  <c r="M39" i="1" l="1"/>
  <c r="O39" i="1"/>
  <c r="K4" i="1"/>
  <c r="K3" i="1"/>
</calcChain>
</file>

<file path=xl/sharedStrings.xml><?xml version="1.0" encoding="utf-8"?>
<sst xmlns="http://schemas.openxmlformats.org/spreadsheetml/2006/main" count="283" uniqueCount="208">
  <si>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</si>
  <si>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</si>
  <si>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</si>
  <si>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</si>
  <si>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</si>
  <si>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</si>
  <si>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</si>
  <si>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</si>
  <si>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</si>
  <si>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</si>
  <si>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</si>
  <si>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</si>
  <si>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</si>
  <si>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</si>
  <si>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</si>
  <si>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Single Board Cost</t>
  </si>
  <si>
    <t>CAP CER 0.1UF 50V X7R 0805</t>
  </si>
  <si>
    <t>Cap0805</t>
  </si>
  <si>
    <t>0805B104K500CT</t>
  </si>
  <si>
    <t>CAP CER 10UF 25V X5R 0603</t>
  </si>
  <si>
    <t>Cap0603</t>
  </si>
  <si>
    <t>C1608X5R1E106M080AC</t>
  </si>
  <si>
    <t>Test Point ON</t>
  </si>
  <si>
    <t>TEST POINT</t>
  </si>
  <si>
    <t>Q1</t>
  </si>
  <si>
    <t>sot-23</t>
  </si>
  <si>
    <t>RES SMD 1K OHM 5% 1/8W 0805</t>
  </si>
  <si>
    <t>RES 0805</t>
  </si>
  <si>
    <t>CRCW08051K00JNEB</t>
  </si>
  <si>
    <t>RES 10K OHM 1% 1/8W 0805</t>
  </si>
  <si>
    <t>RMCF0805FT10K0</t>
  </si>
  <si>
    <t>SOT-23-6</t>
  </si>
  <si>
    <t>0.1uF</t>
  </si>
  <si>
    <t>10uF</t>
  </si>
  <si>
    <t>1K</t>
  </si>
  <si>
    <t>10K</t>
  </si>
  <si>
    <t>Yageo</t>
  </si>
  <si>
    <t>CAP CER 22UF 16V X5R 0805</t>
  </si>
  <si>
    <t>C1, C3</t>
  </si>
  <si>
    <t>CL21A226MOQNNNE</t>
  </si>
  <si>
    <t>C2, C9, C13, C15, C16, C18, C20, C22, C24, C26, C28, C29, C30, C36, C39, C40, C41</t>
  </si>
  <si>
    <t>CAP CER 1UF 25V X5R 0603</t>
  </si>
  <si>
    <t>C4, C5, C6, C7, C12, C25</t>
  </si>
  <si>
    <t>CC0603KRX5R8BB105</t>
  </si>
  <si>
    <t>220uF 16V 6.3mm 7.7mm 2000hrs 105℃ -55℃~+105℃ SMD,6.3x7.7mm Aluminum Electrolytic Capacitors - SMD RoHS</t>
  </si>
  <si>
    <t>C8</t>
  </si>
  <si>
    <t>RVT1C221M0607</t>
  </si>
  <si>
    <t>CAP CER 2.7PF 25V NP0 0402</t>
  </si>
  <si>
    <t>C10</t>
  </si>
  <si>
    <t>Cap0402</t>
  </si>
  <si>
    <t>04023A2R7BAT2A</t>
  </si>
  <si>
    <t>CAP CER 4.7PF 16V C0G/NP0 0402</t>
  </si>
  <si>
    <t>C11</t>
  </si>
  <si>
    <t>885012005023</t>
  </si>
  <si>
    <t>C14, C17, C19, C21, C23</t>
  </si>
  <si>
    <t>100uF ±20% 10V 5mm 5.4mm 2000hrs 105℃ -45℃~+105℃ SMD,5x5.4mm Aluminum Electrolytic Capacitors - SMD RoHS</t>
  </si>
  <si>
    <t>C27, C34, C38</t>
  </si>
  <si>
    <t>RVT1A101M0505</t>
  </si>
  <si>
    <t>CAP CER 20PF 50V C0G/NP0 0805</t>
  </si>
  <si>
    <t>C31, C32</t>
  </si>
  <si>
    <t>C0805C200J5GACTU</t>
  </si>
  <si>
    <t>CAP CER 0.1UF 35V X5R 0201</t>
  </si>
  <si>
    <t>C33</t>
  </si>
  <si>
    <t>CAP 0201</t>
  </si>
  <si>
    <t>GRM033R6YA104ME14D</t>
  </si>
  <si>
    <t>DIODE SCHOTTKY 40V 1A SMA</t>
  </si>
  <si>
    <t>D1</t>
  </si>
  <si>
    <t>DO-214AC</t>
  </si>
  <si>
    <t>SS14</t>
  </si>
  <si>
    <t>SMD PAD</t>
  </si>
  <si>
    <t>XH Header Male Pin 0.098"(2.50mm) 2 Through Hole,P=2.5mm Wire To Board / Wire To Wire Connector RoHS</t>
  </si>
  <si>
    <t>J4</t>
  </si>
  <si>
    <t>B2B-XH-AM(LF)(SN)</t>
  </si>
  <si>
    <t>SMD Power Inductors RoHS</t>
  </si>
  <si>
    <t>L1</t>
  </si>
  <si>
    <t>CD54-4R7M</t>
  </si>
  <si>
    <t>Ferrite Bead 120 ohm, 3 A, 0805</t>
  </si>
  <si>
    <t>L2, L3</t>
  </si>
  <si>
    <t>BLM21PG121SN1D</t>
  </si>
  <si>
    <t>Ferrite Beads 120Ohm 25% 500mA 0603</t>
  </si>
  <si>
    <t>L4, L5, L6, L7, L8, L9, L10, L11, L12, L13, L14, L15</t>
  </si>
  <si>
    <t>BLM18AG121SN1D</t>
  </si>
  <si>
    <t>FIXED IND 1.6NH 660MA 150 MOHM</t>
  </si>
  <si>
    <t>L16</t>
  </si>
  <si>
    <t>Ind 0402</t>
  </si>
  <si>
    <t>HLC021R6BTTR</t>
  </si>
  <si>
    <t>SOT-23-3L MOSFETs RoHS</t>
  </si>
  <si>
    <t>SOT23-3</t>
  </si>
  <si>
    <t>ST3422A</t>
  </si>
  <si>
    <t>RES SMD 180K OHM 1% 1/20W 0201</t>
  </si>
  <si>
    <t>R1</t>
  </si>
  <si>
    <t>Res-0201</t>
  </si>
  <si>
    <t>RC0201FR-07180KL</t>
  </si>
  <si>
    <t>RES SMD 20K OHM 1% 1/20W 0201</t>
  </si>
  <si>
    <t>R2</t>
  </si>
  <si>
    <t>RC0201FR-0720KL</t>
  </si>
  <si>
    <t>R3, R6</t>
  </si>
  <si>
    <t>R4, R5</t>
  </si>
  <si>
    <t>Res Thick Film 0603 1.8K Ohm 1% 0.1W(1/10W) ±100ppm/C Molded SMD Paper T/R</t>
  </si>
  <si>
    <t>R7</t>
  </si>
  <si>
    <t>Res0603</t>
  </si>
  <si>
    <t>RC0603FR-071K8L</t>
  </si>
  <si>
    <t>RES SMD 10R 0.1W 0603</t>
  </si>
  <si>
    <t>R8, R9</t>
  </si>
  <si>
    <t>RC0603JR-0710RL</t>
  </si>
  <si>
    <t>RES SMD 47K OHM 5% 1/10W 0603</t>
  </si>
  <si>
    <t>R10, R12</t>
  </si>
  <si>
    <t>RC0603JR-0747KL</t>
  </si>
  <si>
    <t>Res Thick Film 0805 0 Ohm Epoxy Pad SMD T/R</t>
  </si>
  <si>
    <t>R11</t>
  </si>
  <si>
    <t>RC0805FR-070RL</t>
  </si>
  <si>
    <t>24V 2A SOT-23-6 DC-DC Converters RoHS</t>
  </si>
  <si>
    <t>U1</t>
  </si>
  <si>
    <t>SDB628</t>
  </si>
  <si>
    <t>IC REG LINEAR 3.3V 200MA SOT23</t>
  </si>
  <si>
    <t>U2</t>
  </si>
  <si>
    <t>XC6206P332MR-G</t>
  </si>
  <si>
    <t>PMIC - LDO voltage regulator Texas Instruments LM1117MPX-ADJ/NOPB Positivbe, adjustable SOT 223</t>
  </si>
  <si>
    <t>U3</t>
  </si>
  <si>
    <t>SOT-223</t>
  </si>
  <si>
    <t>LM1117MPX-ADJ/NOPB</t>
  </si>
  <si>
    <t>High Performance 32-bit Bluetooth Audio P</t>
  </si>
  <si>
    <t>U4</t>
  </si>
  <si>
    <t>48 LQFP</t>
  </si>
  <si>
    <t>BP1048B2</t>
  </si>
  <si>
    <t>Class D, Class AB 1-Channel (Mono) 11W x 1 @ 4Ω, 9W x 1 @ 4Ω 3V ~ 9V SOP-8_EP_150mil Audio Power OpAmps RoHS</t>
  </si>
  <si>
    <t>U5</t>
  </si>
  <si>
    <t>SOP-8</t>
  </si>
  <si>
    <t>HT8693</t>
  </si>
  <si>
    <t>RF ANT 2.4GHZ STAMPED MET SLD</t>
  </si>
  <si>
    <t>U6</t>
  </si>
  <si>
    <t>PRO-OB-440</t>
  </si>
  <si>
    <t>24MHz ±20ppm 20pF 40Ω SMD-5032_4P Crystals RoHS</t>
  </si>
  <si>
    <t>X1</t>
  </si>
  <si>
    <t>7I24000F20UCG</t>
  </si>
  <si>
    <t>Samsung</t>
  </si>
  <si>
    <t>Walsin Technologies</t>
  </si>
  <si>
    <t>Honor Elec</t>
  </si>
  <si>
    <t>Kyocera AVX</t>
  </si>
  <si>
    <t>Wurth Electronics</t>
  </si>
  <si>
    <t>TDK</t>
  </si>
  <si>
    <t>CX(Dongguan Chengxing Elec)</t>
  </si>
  <si>
    <t>KEMET</t>
  </si>
  <si>
    <t>Murata</t>
  </si>
  <si>
    <t>JST Sales America</t>
  </si>
  <si>
    <t>DMBJ</t>
  </si>
  <si>
    <t>STANSON Tech.</t>
  </si>
  <si>
    <t>Vishay Dale</t>
  </si>
  <si>
    <t>Stackpole Electronics</t>
  </si>
  <si>
    <t>SHOUDING</t>
  </si>
  <si>
    <t>Torex</t>
  </si>
  <si>
    <t>TI National Semiconductor</t>
  </si>
  <si>
    <t>MV Silicon</t>
  </si>
  <si>
    <t>Proant</t>
  </si>
  <si>
    <t>SJK(SHENZHEN CRYSTAL TECH)</t>
  </si>
  <si>
    <t>22uF</t>
  </si>
  <si>
    <t>1uF</t>
  </si>
  <si>
    <t>220uF</t>
  </si>
  <si>
    <t>2.7pF</t>
  </si>
  <si>
    <t>4.7pF</t>
  </si>
  <si>
    <t>100uF</t>
  </si>
  <si>
    <t>20pF</t>
  </si>
  <si>
    <t>4.7uH</t>
  </si>
  <si>
    <t>1.6nH</t>
  </si>
  <si>
    <t>180K</t>
  </si>
  <si>
    <t>20K</t>
  </si>
  <si>
    <t>1.8K</t>
  </si>
  <si>
    <t>10R</t>
  </si>
  <si>
    <t>47K</t>
  </si>
  <si>
    <t>0R</t>
  </si>
  <si>
    <t>24MHz</t>
  </si>
  <si>
    <t>GRM188R6YA106MA73D</t>
  </si>
  <si>
    <t>AC0805JR-0710KL</t>
  </si>
  <si>
    <t>ECS-240-20-30B-TR</t>
  </si>
  <si>
    <t>Part unavailable. Similar alternate suggested.</t>
  </si>
  <si>
    <t>Bill of Material (BOM) for Ibrahim Task (Main Board)</t>
  </si>
  <si>
    <t>will not be mounted</t>
  </si>
  <si>
    <t>Will not be mounted</t>
  </si>
  <si>
    <t>Capacitor</t>
  </si>
  <si>
    <t>ON Semiconductor / Fairchild</t>
  </si>
  <si>
    <t>CONN HEADER SMD 8POS 1MM</t>
  </si>
  <si>
    <t>J1</t>
  </si>
  <si>
    <t>M40-3010846</t>
  </si>
  <si>
    <t>Harwin</t>
  </si>
  <si>
    <t>Solder Bridge '</t>
  </si>
  <si>
    <t>J2,J3, J5</t>
  </si>
  <si>
    <t>Custom</t>
  </si>
  <si>
    <t>CONN HEADER VERT 4POS 2.54MM</t>
  </si>
  <si>
    <t>P1</t>
  </si>
  <si>
    <t>HDR1X4</t>
  </si>
  <si>
    <t>61300411121</t>
  </si>
  <si>
    <t>P3, P4, P5,P6</t>
  </si>
  <si>
    <t>--------</t>
  </si>
  <si>
    <t>-----------</t>
  </si>
  <si>
    <t>----</t>
  </si>
  <si>
    <t>Diode</t>
  </si>
  <si>
    <t xml:space="preserve">Inductor </t>
  </si>
  <si>
    <t>Mosfet</t>
  </si>
  <si>
    <t>Resistor</t>
  </si>
  <si>
    <t>IC</t>
  </si>
  <si>
    <t>Crystal</t>
  </si>
  <si>
    <t xml:space="preserve">Connector </t>
  </si>
  <si>
    <t>-------------</t>
  </si>
  <si>
    <t>---</t>
  </si>
  <si>
    <t>-----</t>
  </si>
  <si>
    <t xml:space="preserve">Total Component Cost </t>
  </si>
  <si>
    <t xml:space="preserve">Will be Supplied by the client </t>
  </si>
  <si>
    <t>Manufacturer Part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</si>
</sst>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4" fontId="0" fillId="0" borderId="0" xfId="0" applyNumberFormat="1"/>
    <xf numFmtId="0" fontId="1" fillId="2" borderId="3" xfId="0" applyFont="1" applyFill="1" applyBorder="1" applyAlignment="1">
      <alignment horizontal="center" vertical="center"/>
    </xf>
    <xf numFmtId="44" fontId="4" fillId="0" borderId="1" xfId="0" applyNumberFormat="1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4" xfId="0" applyFont="1" applyBorder="1" applyAlignment="1">
      <alignment vertical="center" wrapText="1"/>
    </xf>
    <xf numFmtId="44" fontId="6" fillId="0" borderId="1" xfId="0" applyNumberFormat="1" applyFont="1" applyFill="1" applyBorder="1" applyAlignment="1">
      <alignment vertical="center"/>
    </xf>
    <xf numFmtId="0" fontId="6" fillId="0" borderId="4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44" fontId="8" fillId="4" borderId="1" xfId="0" applyNumberFormat="1" applyFont="1" applyFill="1" applyBorder="1" applyAlignment="1">
      <alignment vertical="center"/>
    </xf>
    <xf numFmtId="0" fontId="6" fillId="0" borderId="1" xfId="0" quotePrefix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44" fontId="4" fillId="0" borderId="1" xfId="0" applyNumberFormat="1" applyFont="1" applyBorder="1" applyAlignment="1">
      <alignment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4" fillId="0" borderId="8" xfId="0" quotePrefix="1" applyFont="1" applyBorder="1" applyAlignment="1">
      <alignment horizontal="center" vertical="center" wrapText="1"/>
    </xf>
    <xf numFmtId="0" fontId="4" fillId="3" borderId="8" xfId="0" quotePrefix="1" applyFont="1" applyFill="1" applyBorder="1" applyAlignment="1">
      <alignment horizontal="center" vertical="center" wrapText="1"/>
    </xf>
    <xf numFmtId="0" fontId="8" fillId="4" borderId="8" xfId="0" quotePrefix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14" xfId="0" applyFont="1" applyFill="1" applyBorder="1" applyAlignment="1">
      <alignment horizontal="center" vertical="center"/>
    </xf>
    <xf numFmtId="0" fontId="8" fillId="4" borderId="17" xfId="0" quotePrefix="1" applyFont="1" applyFill="1" applyBorder="1" applyAlignment="1">
      <alignment horizontal="center" vertical="center" wrapText="1"/>
    </xf>
    <xf numFmtId="0" fontId="8" fillId="4" borderId="5" xfId="0" quotePrefix="1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/>
    </xf>
    <xf numFmtId="165" fontId="8" fillId="4" borderId="5" xfId="0" applyNumberFormat="1" applyFont="1" applyFill="1" applyBorder="1" applyAlignment="1">
      <alignment horizontal="center" vertical="center"/>
    </xf>
    <xf numFmtId="44" fontId="8" fillId="4" borderId="5" xfId="0" applyNumberFormat="1" applyFont="1" applyFill="1" applyBorder="1" applyAlignment="1">
      <alignment vertical="center"/>
    </xf>
    <xf numFmtId="0" fontId="8" fillId="4" borderId="6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wrapText="1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40"/>
  <sheetViews>
    <sheetView tabSelected="1" zoomScaleNormal="100" workbookViewId="0">
      <selection sqref="A1:P1"/>
    </sheetView>
  </sheetViews>
  <sheetFormatPr defaultRowHeight="15" x14ac:dyDescent="0.25"/>
  <cols>
    <col min="1" max="1" width="6.140625" bestFit="1" customWidth="1"/>
    <col min="2" max="2" width="16.5703125" customWidth="1"/>
    <col min="3" max="3" width="68.7109375" customWidth="1"/>
    <col min="4" max="4" width="28.140625" customWidth="1"/>
    <col min="5" max="5" width="18.5703125" bestFit="1" customWidth="1"/>
    <col min="6" max="6" width="21" bestFit="1" customWidth="1"/>
    <col min="7" max="7" width="19" bestFit="1" customWidth="1"/>
    <col min="8" max="8" width="22.85546875" style="34" bestFit="1" customWidth="1"/>
    <col min="9" max="9" width="6.42578125" bestFit="1" customWidth="1"/>
    <col min="10" max="10" width="19.42578125" bestFit="1" customWidth="1"/>
    <col min="11" max="11" width="13.42578125" bestFit="1" customWidth="1"/>
    <col min="12" max="12" width="14.5703125" bestFit="1" customWidth="1"/>
    <col min="13" max="13" width="15.85546875" bestFit="1" customWidth="1"/>
    <col min="14" max="14" width="18.5703125" customWidth="1"/>
    <col min="15" max="15" width="17.140625" bestFit="1" customWidth="1"/>
    <col min="16" max="16" width="38.140625" customWidth="1"/>
  </cols>
  <sheetData>
    <row r="1" spans="1:16" ht="16.5" thickBot="1" x14ac:dyDescent="0.3">
      <c r="A1" s="50" t="s">
        <v>175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2"/>
    </row>
    <row r="2" spans="1:16" ht="15.75" thickBot="1" x14ac:dyDescent="0.3">
      <c r="A2" s="1" t="s">
        <v>3</v>
      </c>
      <c r="B2" s="4" t="s">
        <v>4</v>
      </c>
      <c r="C2" s="4" t="s">
        <v>0</v>
      </c>
      <c r="D2" s="4" t="s">
        <v>1</v>
      </c>
      <c r="E2" s="4" t="s">
        <v>5</v>
      </c>
      <c r="F2" s="4" t="s">
        <v>207</v>
      </c>
      <c r="G2" s="4" t="s">
        <v>2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</row>
    <row r="3" spans="1:16" ht="15.75" thickBot="1" x14ac:dyDescent="0.3">
      <c r="A3" s="1">
        <v>1</v>
      </c>
      <c r="B3" s="44" t="s">
        <v>178</v>
      </c>
      <c r="C3" s="28" t="s">
        <v>37</v>
      </c>
      <c r="D3" s="24" t="s">
        <v>38</v>
      </c>
      <c r="E3" s="22" t="s">
        <v>17</v>
      </c>
      <c r="F3" s="22" t="s">
        <v>39</v>
      </c>
      <c r="G3" s="22" t="s">
        <v>135</v>
      </c>
      <c r="H3" s="14" t="s">
        <v>202</v>
      </c>
      <c r="I3" s="22" t="s">
        <v>155</v>
      </c>
      <c r="J3" s="19">
        <v>2</v>
      </c>
      <c r="K3" s="10">
        <f>J3*5</f>
        <v>10</v>
      </c>
      <c r="L3" s="15">
        <v>0.3</v>
      </c>
      <c r="M3" s="5">
        <f>L3*J3</f>
        <v>0.6</v>
      </c>
      <c r="N3" s="15">
        <v>0.20899999999999999</v>
      </c>
      <c r="O3" s="5">
        <f>(0.086*20)+(0.12*5)</f>
        <v>2.3199999999999998</v>
      </c>
      <c r="P3" s="7"/>
    </row>
    <row r="4" spans="1:16" ht="39" thickBot="1" x14ac:dyDescent="0.3">
      <c r="A4" s="1">
        <v>2</v>
      </c>
      <c r="B4" s="45"/>
      <c r="C4" s="28" t="s">
        <v>16</v>
      </c>
      <c r="D4" s="24" t="s">
        <v>40</v>
      </c>
      <c r="E4" s="22" t="s">
        <v>17</v>
      </c>
      <c r="F4" s="22" t="s">
        <v>18</v>
      </c>
      <c r="G4" s="22" t="s">
        <v>136</v>
      </c>
      <c r="H4" s="14" t="s">
        <v>202</v>
      </c>
      <c r="I4" s="22" t="s">
        <v>32</v>
      </c>
      <c r="J4" s="19">
        <v>17</v>
      </c>
      <c r="K4" s="10">
        <f t="shared" ref="K4:K5" si="0">J4*5</f>
        <v>85</v>
      </c>
      <c r="L4" s="15">
        <v>8.5999999999999993E-2</v>
      </c>
      <c r="M4" s="5">
        <f>(L4*10)+(0.12*7)</f>
        <v>1.6999999999999997</v>
      </c>
      <c r="N4" s="15">
        <v>4.9000000000000002E-2</v>
      </c>
      <c r="O4" s="5">
        <f>(N4*50)+(L4*30)+(0.12*5)</f>
        <v>5.629999999999999</v>
      </c>
      <c r="P4" s="6"/>
    </row>
    <row r="5" spans="1:16" ht="15.75" thickBot="1" x14ac:dyDescent="0.3">
      <c r="A5" s="1">
        <v>3</v>
      </c>
      <c r="B5" s="45"/>
      <c r="C5" s="28" t="s">
        <v>41</v>
      </c>
      <c r="D5" s="24" t="s">
        <v>42</v>
      </c>
      <c r="E5" s="22" t="s">
        <v>20</v>
      </c>
      <c r="F5" s="22" t="s">
        <v>43</v>
      </c>
      <c r="G5" s="22" t="s">
        <v>36</v>
      </c>
      <c r="H5" s="14" t="s">
        <v>202</v>
      </c>
      <c r="I5" s="22" t="s">
        <v>156</v>
      </c>
      <c r="J5" s="19">
        <v>6</v>
      </c>
      <c r="K5" s="10">
        <f t="shared" si="0"/>
        <v>30</v>
      </c>
      <c r="L5" s="15">
        <v>0.12</v>
      </c>
      <c r="M5" s="5">
        <f>L5*J5</f>
        <v>0.72</v>
      </c>
      <c r="N5" s="15">
        <v>8.4000000000000005E-2</v>
      </c>
      <c r="O5" s="5">
        <f>N5*K5</f>
        <v>2.52</v>
      </c>
      <c r="P5" s="7"/>
    </row>
    <row r="6" spans="1:16" ht="26.25" thickBot="1" x14ac:dyDescent="0.3">
      <c r="A6" s="1">
        <v>4</v>
      </c>
      <c r="B6" s="45"/>
      <c r="C6" s="28" t="s">
        <v>44</v>
      </c>
      <c r="D6" s="24" t="s">
        <v>45</v>
      </c>
      <c r="E6" s="22" t="s">
        <v>186</v>
      </c>
      <c r="F6" s="22" t="s">
        <v>46</v>
      </c>
      <c r="G6" s="22" t="s">
        <v>137</v>
      </c>
      <c r="H6" s="14" t="s">
        <v>202</v>
      </c>
      <c r="I6" s="22" t="s">
        <v>157</v>
      </c>
      <c r="J6" s="19">
        <v>1</v>
      </c>
      <c r="K6" s="10">
        <f t="shared" ref="K6:K13" si="1">J6*5</f>
        <v>5</v>
      </c>
      <c r="L6" s="15">
        <v>9.5000000000000001E-2</v>
      </c>
      <c r="M6" s="5">
        <f>L6*J6</f>
        <v>9.5000000000000001E-2</v>
      </c>
      <c r="N6" s="15">
        <v>9.5000000000000001E-2</v>
      </c>
      <c r="O6" s="5">
        <f>N6*K6</f>
        <v>0.47499999999999998</v>
      </c>
      <c r="P6" s="6"/>
    </row>
    <row r="7" spans="1:16" ht="15.75" thickBot="1" x14ac:dyDescent="0.3">
      <c r="A7" s="1">
        <v>5</v>
      </c>
      <c r="B7" s="45"/>
      <c r="C7" s="28" t="s">
        <v>47</v>
      </c>
      <c r="D7" s="24" t="s">
        <v>48</v>
      </c>
      <c r="E7" s="22" t="s">
        <v>49</v>
      </c>
      <c r="F7" s="22" t="s">
        <v>50</v>
      </c>
      <c r="G7" s="22" t="s">
        <v>138</v>
      </c>
      <c r="H7" s="14" t="s">
        <v>202</v>
      </c>
      <c r="I7" s="22" t="s">
        <v>158</v>
      </c>
      <c r="J7" s="19">
        <v>1</v>
      </c>
      <c r="K7" s="11">
        <f t="shared" si="1"/>
        <v>5</v>
      </c>
      <c r="L7" s="16">
        <v>0.33</v>
      </c>
      <c r="M7" s="8">
        <f>L7*J7</f>
        <v>0.33</v>
      </c>
      <c r="N7" s="16">
        <v>0.33</v>
      </c>
      <c r="O7" s="8">
        <f>N7*K7</f>
        <v>1.6500000000000001</v>
      </c>
      <c r="P7" s="9"/>
    </row>
    <row r="8" spans="1:16" ht="15.75" thickBot="1" x14ac:dyDescent="0.3">
      <c r="A8" s="1">
        <v>6</v>
      </c>
      <c r="B8" s="45"/>
      <c r="C8" s="28" t="s">
        <v>51</v>
      </c>
      <c r="D8" s="24" t="s">
        <v>52</v>
      </c>
      <c r="E8" s="22" t="s">
        <v>49</v>
      </c>
      <c r="F8" s="22" t="s">
        <v>53</v>
      </c>
      <c r="G8" s="22" t="s">
        <v>139</v>
      </c>
      <c r="H8" s="14" t="s">
        <v>202</v>
      </c>
      <c r="I8" s="22" t="s">
        <v>159</v>
      </c>
      <c r="J8" s="19">
        <v>1</v>
      </c>
      <c r="K8" s="10">
        <f t="shared" si="1"/>
        <v>5</v>
      </c>
      <c r="L8" s="15">
        <v>0.1</v>
      </c>
      <c r="M8" s="5">
        <f>L8*J8</f>
        <v>0.1</v>
      </c>
      <c r="N8" s="15">
        <v>0.1</v>
      </c>
      <c r="O8" s="5">
        <f>N8*K8</f>
        <v>0.5</v>
      </c>
      <c r="P8" s="6"/>
    </row>
    <row r="9" spans="1:16" ht="15.75" thickBot="1" x14ac:dyDescent="0.3">
      <c r="A9" s="1">
        <v>7</v>
      </c>
      <c r="B9" s="45"/>
      <c r="C9" s="28" t="s">
        <v>19</v>
      </c>
      <c r="D9" s="24" t="s">
        <v>54</v>
      </c>
      <c r="E9" s="22" t="s">
        <v>20</v>
      </c>
      <c r="F9" s="22" t="s">
        <v>21</v>
      </c>
      <c r="G9" s="22" t="s">
        <v>140</v>
      </c>
      <c r="H9" s="14" t="s">
        <v>171</v>
      </c>
      <c r="I9" s="22" t="s">
        <v>33</v>
      </c>
      <c r="J9" s="19">
        <v>5</v>
      </c>
      <c r="K9" s="10">
        <f t="shared" si="1"/>
        <v>25</v>
      </c>
      <c r="L9" s="15">
        <v>0.45</v>
      </c>
      <c r="M9" s="5">
        <f>L9*J9</f>
        <v>2.25</v>
      </c>
      <c r="N9" s="15">
        <v>0.315</v>
      </c>
      <c r="O9" s="5">
        <f>(N9*20)+(L9*5)</f>
        <v>8.5500000000000007</v>
      </c>
      <c r="P9" s="7"/>
    </row>
    <row r="10" spans="1:16" ht="26.25" thickBot="1" x14ac:dyDescent="0.3">
      <c r="A10" s="1">
        <v>8</v>
      </c>
      <c r="B10" s="45"/>
      <c r="C10" s="28" t="s">
        <v>55</v>
      </c>
      <c r="D10" s="24" t="s">
        <v>56</v>
      </c>
      <c r="E10" s="22" t="s">
        <v>186</v>
      </c>
      <c r="F10" s="22" t="s">
        <v>57</v>
      </c>
      <c r="G10" s="22" t="s">
        <v>141</v>
      </c>
      <c r="H10" s="33" t="s">
        <v>202</v>
      </c>
      <c r="I10" s="22" t="s">
        <v>160</v>
      </c>
      <c r="J10" s="19">
        <v>3</v>
      </c>
      <c r="K10" s="10">
        <f t="shared" si="1"/>
        <v>15</v>
      </c>
      <c r="L10" s="15">
        <v>6.5000000000000002E-2</v>
      </c>
      <c r="M10" s="5">
        <f>L10*J10</f>
        <v>0.19500000000000001</v>
      </c>
      <c r="N10" s="15">
        <v>6.5000000000000002E-2</v>
      </c>
      <c r="O10" s="5">
        <f>(0.266*10)+(0.31*5)</f>
        <v>4.21</v>
      </c>
      <c r="P10" s="6"/>
    </row>
    <row r="11" spans="1:16" ht="30.75" customHeight="1" thickBot="1" x14ac:dyDescent="0.3">
      <c r="A11" s="1">
        <v>9</v>
      </c>
      <c r="B11" s="45"/>
      <c r="C11" s="28" t="s">
        <v>58</v>
      </c>
      <c r="D11" s="24" t="s">
        <v>59</v>
      </c>
      <c r="E11" s="22" t="s">
        <v>17</v>
      </c>
      <c r="F11" s="22" t="s">
        <v>60</v>
      </c>
      <c r="G11" s="22" t="s">
        <v>142</v>
      </c>
      <c r="H11" s="33" t="s">
        <v>202</v>
      </c>
      <c r="I11" s="22" t="s">
        <v>161</v>
      </c>
      <c r="J11" s="19">
        <v>2</v>
      </c>
      <c r="K11" s="10">
        <f t="shared" si="1"/>
        <v>10</v>
      </c>
      <c r="L11" s="15">
        <v>0.3</v>
      </c>
      <c r="M11" s="5">
        <f>(L11*10)+0.1</f>
        <v>3.1</v>
      </c>
      <c r="N11" s="15">
        <v>0.20699999999999999</v>
      </c>
      <c r="O11" s="5">
        <f>(N11*50)+(0.1*5)</f>
        <v>10.85</v>
      </c>
      <c r="P11" s="7"/>
    </row>
    <row r="12" spans="1:16" ht="15.75" thickBot="1" x14ac:dyDescent="0.3">
      <c r="A12" s="1">
        <v>10</v>
      </c>
      <c r="B12" s="46"/>
      <c r="C12" s="28" t="s">
        <v>61</v>
      </c>
      <c r="D12" s="24" t="s">
        <v>62</v>
      </c>
      <c r="E12" s="22" t="s">
        <v>63</v>
      </c>
      <c r="F12" s="22" t="s">
        <v>64</v>
      </c>
      <c r="G12" s="22" t="s">
        <v>143</v>
      </c>
      <c r="H12" s="33" t="s">
        <v>202</v>
      </c>
      <c r="I12" s="22" t="s">
        <v>32</v>
      </c>
      <c r="J12" s="19">
        <v>1</v>
      </c>
      <c r="K12" s="10">
        <f t="shared" si="1"/>
        <v>5</v>
      </c>
      <c r="L12" s="15">
        <v>0.1</v>
      </c>
      <c r="M12" s="5">
        <f>L12*J12</f>
        <v>0.1</v>
      </c>
      <c r="N12" s="15">
        <v>0.1</v>
      </c>
      <c r="O12" s="5">
        <f>N12*K12</f>
        <v>0.5</v>
      </c>
      <c r="P12" s="6"/>
    </row>
    <row r="13" spans="1:16" ht="26.25" thickBot="1" x14ac:dyDescent="0.3">
      <c r="A13" s="1">
        <v>11</v>
      </c>
      <c r="B13" s="31" t="s">
        <v>195</v>
      </c>
      <c r="C13" s="28" t="s">
        <v>65</v>
      </c>
      <c r="D13" s="24" t="s">
        <v>66</v>
      </c>
      <c r="E13" s="22" t="s">
        <v>67</v>
      </c>
      <c r="F13" s="22" t="s">
        <v>68</v>
      </c>
      <c r="G13" s="23" t="s">
        <v>179</v>
      </c>
      <c r="H13" s="33" t="s">
        <v>202</v>
      </c>
      <c r="I13" s="22" t="s">
        <v>68</v>
      </c>
      <c r="J13" s="19">
        <v>1</v>
      </c>
      <c r="K13" s="10">
        <f t="shared" si="1"/>
        <v>5</v>
      </c>
      <c r="L13" s="15">
        <v>0.43</v>
      </c>
      <c r="M13" s="5">
        <f>L13*J13</f>
        <v>0.43</v>
      </c>
      <c r="N13" s="15">
        <v>0.32200000000000001</v>
      </c>
      <c r="O13" s="5">
        <f>N13*K13</f>
        <v>1.61</v>
      </c>
      <c r="P13" s="7"/>
    </row>
    <row r="14" spans="1:16" ht="15.75" thickBot="1" x14ac:dyDescent="0.3">
      <c r="A14" s="1">
        <v>12</v>
      </c>
      <c r="B14" s="47" t="s">
        <v>196</v>
      </c>
      <c r="C14" s="28" t="s">
        <v>73</v>
      </c>
      <c r="D14" s="24" t="s">
        <v>74</v>
      </c>
      <c r="E14" s="22" t="s">
        <v>186</v>
      </c>
      <c r="F14" s="22" t="s">
        <v>75</v>
      </c>
      <c r="G14" s="22" t="s">
        <v>145</v>
      </c>
      <c r="H14" s="33" t="s">
        <v>202</v>
      </c>
      <c r="I14" s="22" t="s">
        <v>162</v>
      </c>
      <c r="J14" s="19">
        <v>1</v>
      </c>
      <c r="K14" s="10">
        <f t="shared" ref="K14:K35" si="2">J14*5</f>
        <v>5</v>
      </c>
      <c r="L14" s="15">
        <v>0.53</v>
      </c>
      <c r="M14" s="5">
        <f>L14*J14</f>
        <v>0.53</v>
      </c>
      <c r="N14" s="15">
        <v>0.53</v>
      </c>
      <c r="O14" s="5">
        <f>N14*K14</f>
        <v>2.6500000000000004</v>
      </c>
      <c r="P14" s="6"/>
    </row>
    <row r="15" spans="1:16" ht="15.75" thickBot="1" x14ac:dyDescent="0.3">
      <c r="A15" s="1">
        <v>13</v>
      </c>
      <c r="B15" s="48"/>
      <c r="C15" s="28" t="s">
        <v>76</v>
      </c>
      <c r="D15" s="24" t="s">
        <v>77</v>
      </c>
      <c r="E15" s="22" t="s">
        <v>186</v>
      </c>
      <c r="F15" s="22" t="s">
        <v>78</v>
      </c>
      <c r="G15" s="22" t="s">
        <v>143</v>
      </c>
      <c r="H15" s="33" t="s">
        <v>202</v>
      </c>
      <c r="I15" s="22" t="s">
        <v>203</v>
      </c>
      <c r="J15" s="19">
        <v>2</v>
      </c>
      <c r="K15" s="10">
        <f t="shared" si="2"/>
        <v>10</v>
      </c>
      <c r="L15" s="15">
        <v>0.13</v>
      </c>
      <c r="M15" s="5">
        <f>L15*J15</f>
        <v>0.26</v>
      </c>
      <c r="N15" s="15">
        <v>0.10299999999999999</v>
      </c>
      <c r="O15" s="5">
        <f>N15*K15</f>
        <v>1.03</v>
      </c>
      <c r="P15" s="6"/>
    </row>
    <row r="16" spans="1:16" ht="26.25" thickBot="1" x14ac:dyDescent="0.3">
      <c r="A16" s="1">
        <v>14</v>
      </c>
      <c r="B16" s="48"/>
      <c r="C16" s="28" t="s">
        <v>79</v>
      </c>
      <c r="D16" s="24" t="s">
        <v>80</v>
      </c>
      <c r="E16" s="22" t="s">
        <v>186</v>
      </c>
      <c r="F16" s="22" t="s">
        <v>81</v>
      </c>
      <c r="G16" s="22" t="s">
        <v>143</v>
      </c>
      <c r="H16" s="33" t="s">
        <v>202</v>
      </c>
      <c r="I16" s="22" t="s">
        <v>203</v>
      </c>
      <c r="J16" s="19">
        <v>12</v>
      </c>
      <c r="K16" s="10">
        <f t="shared" si="2"/>
        <v>60</v>
      </c>
      <c r="L16" s="27">
        <v>7.9000000000000001E-2</v>
      </c>
      <c r="M16" s="5">
        <f>(L16*10)+(0.1*2)</f>
        <v>0.99</v>
      </c>
      <c r="N16" s="15">
        <v>6.4799999999999996E-2</v>
      </c>
      <c r="O16" s="5">
        <f>(N16*50)+(0.79*10)</f>
        <v>11.14</v>
      </c>
      <c r="P16" s="6"/>
    </row>
    <row r="17" spans="1:16" ht="15.75" thickBot="1" x14ac:dyDescent="0.3">
      <c r="A17" s="1">
        <v>15</v>
      </c>
      <c r="B17" s="49"/>
      <c r="C17" s="28" t="s">
        <v>82</v>
      </c>
      <c r="D17" s="24" t="s">
        <v>83</v>
      </c>
      <c r="E17" s="22" t="s">
        <v>84</v>
      </c>
      <c r="F17" s="22" t="s">
        <v>85</v>
      </c>
      <c r="G17" s="22" t="s">
        <v>138</v>
      </c>
      <c r="H17" s="33" t="s">
        <v>202</v>
      </c>
      <c r="I17" s="22" t="s">
        <v>163</v>
      </c>
      <c r="J17" s="19">
        <v>1</v>
      </c>
      <c r="K17" s="10">
        <f t="shared" si="2"/>
        <v>5</v>
      </c>
      <c r="L17" s="15">
        <v>0.4</v>
      </c>
      <c r="M17" s="5">
        <f>L17*J17</f>
        <v>0.4</v>
      </c>
      <c r="N17" s="15">
        <v>0.4</v>
      </c>
      <c r="O17" s="5">
        <f>N17*K17</f>
        <v>2</v>
      </c>
      <c r="P17" s="6"/>
    </row>
    <row r="18" spans="1:16" ht="15.75" thickBot="1" x14ac:dyDescent="0.3">
      <c r="A18" s="1">
        <v>16</v>
      </c>
      <c r="B18" s="31" t="s">
        <v>197</v>
      </c>
      <c r="C18" s="28" t="s">
        <v>86</v>
      </c>
      <c r="D18" s="24" t="s">
        <v>24</v>
      </c>
      <c r="E18" s="22" t="s">
        <v>87</v>
      </c>
      <c r="F18" s="22" t="s">
        <v>88</v>
      </c>
      <c r="G18" s="22" t="s">
        <v>146</v>
      </c>
      <c r="H18" s="33" t="s">
        <v>202</v>
      </c>
      <c r="I18" s="22"/>
      <c r="J18" s="19">
        <v>1</v>
      </c>
      <c r="K18" s="10">
        <f t="shared" si="2"/>
        <v>5</v>
      </c>
      <c r="L18" s="15">
        <v>0.12</v>
      </c>
      <c r="M18" s="5">
        <f>L18*J18</f>
        <v>0.12</v>
      </c>
      <c r="N18" s="15">
        <v>0.12</v>
      </c>
      <c r="O18" s="5">
        <f>N18*K18</f>
        <v>0.6</v>
      </c>
      <c r="P18" s="6"/>
    </row>
    <row r="19" spans="1:16" ht="15.75" thickBot="1" x14ac:dyDescent="0.3">
      <c r="A19" s="1">
        <v>17</v>
      </c>
      <c r="B19" s="47" t="s">
        <v>198</v>
      </c>
      <c r="C19" s="28" t="s">
        <v>89</v>
      </c>
      <c r="D19" s="24" t="s">
        <v>90</v>
      </c>
      <c r="E19" s="22" t="s">
        <v>91</v>
      </c>
      <c r="F19" s="22" t="s">
        <v>92</v>
      </c>
      <c r="G19" s="22" t="s">
        <v>36</v>
      </c>
      <c r="H19" s="33" t="s">
        <v>202</v>
      </c>
      <c r="I19" s="22" t="s">
        <v>164</v>
      </c>
      <c r="J19" s="19">
        <v>1</v>
      </c>
      <c r="K19" s="10">
        <f t="shared" si="2"/>
        <v>5</v>
      </c>
      <c r="L19" s="15">
        <v>0.10100000000000001</v>
      </c>
      <c r="M19" s="5">
        <f>L19*J19</f>
        <v>0.10100000000000001</v>
      </c>
      <c r="N19" s="15">
        <v>0.10100000000000001</v>
      </c>
      <c r="O19" s="5">
        <f>N19*K19</f>
        <v>0.505</v>
      </c>
      <c r="P19" s="6"/>
    </row>
    <row r="20" spans="1:16" ht="15.75" thickBot="1" x14ac:dyDescent="0.3">
      <c r="A20" s="1">
        <v>18</v>
      </c>
      <c r="B20" s="48"/>
      <c r="C20" s="28" t="s">
        <v>93</v>
      </c>
      <c r="D20" s="24" t="s">
        <v>94</v>
      </c>
      <c r="E20" s="22" t="s">
        <v>91</v>
      </c>
      <c r="F20" s="22" t="s">
        <v>95</v>
      </c>
      <c r="G20" s="22" t="s">
        <v>36</v>
      </c>
      <c r="H20" s="33" t="s">
        <v>202</v>
      </c>
      <c r="I20" s="22" t="s">
        <v>165</v>
      </c>
      <c r="J20" s="19">
        <v>1</v>
      </c>
      <c r="K20" s="10">
        <f t="shared" si="2"/>
        <v>5</v>
      </c>
      <c r="L20" s="15">
        <v>3.9300000000000002E-2</v>
      </c>
      <c r="M20" s="5">
        <f>L20*J20</f>
        <v>3.9300000000000002E-2</v>
      </c>
      <c r="N20" s="15">
        <v>3.9300000000000002E-2</v>
      </c>
      <c r="O20" s="5">
        <f>N20*K20</f>
        <v>0.19650000000000001</v>
      </c>
      <c r="P20" s="6"/>
    </row>
    <row r="21" spans="1:16" ht="15.75" thickBot="1" x14ac:dyDescent="0.3">
      <c r="A21" s="1">
        <v>19</v>
      </c>
      <c r="B21" s="48"/>
      <c r="C21" s="28" t="s">
        <v>26</v>
      </c>
      <c r="D21" s="24" t="s">
        <v>96</v>
      </c>
      <c r="E21" s="22" t="s">
        <v>27</v>
      </c>
      <c r="F21" s="22" t="s">
        <v>28</v>
      </c>
      <c r="G21" s="22" t="s">
        <v>147</v>
      </c>
      <c r="H21" s="33" t="s">
        <v>202</v>
      </c>
      <c r="I21" s="22" t="s">
        <v>34</v>
      </c>
      <c r="J21" s="19">
        <v>2</v>
      </c>
      <c r="K21" s="10">
        <f t="shared" si="2"/>
        <v>10</v>
      </c>
      <c r="L21" s="15">
        <v>0.1</v>
      </c>
      <c r="M21" s="5">
        <f>L21*J21</f>
        <v>0.2</v>
      </c>
      <c r="N21" s="15">
        <v>0.05</v>
      </c>
      <c r="O21" s="5">
        <f>N21*K21</f>
        <v>0.5</v>
      </c>
      <c r="P21" s="6"/>
    </row>
    <row r="22" spans="1:16" ht="15.75" thickBot="1" x14ac:dyDescent="0.3">
      <c r="A22" s="1">
        <v>20</v>
      </c>
      <c r="B22" s="48"/>
      <c r="C22" s="28" t="s">
        <v>29</v>
      </c>
      <c r="D22" s="24" t="s">
        <v>97</v>
      </c>
      <c r="E22" s="22" t="s">
        <v>27</v>
      </c>
      <c r="F22" s="22" t="s">
        <v>30</v>
      </c>
      <c r="G22" s="22" t="s">
        <v>148</v>
      </c>
      <c r="H22" s="14" t="s">
        <v>172</v>
      </c>
      <c r="I22" s="22" t="s">
        <v>35</v>
      </c>
      <c r="J22" s="19">
        <v>2</v>
      </c>
      <c r="K22" s="10">
        <f t="shared" si="2"/>
        <v>10</v>
      </c>
      <c r="L22" s="15">
        <v>0.1</v>
      </c>
      <c r="M22" s="5">
        <f>L22*J22</f>
        <v>0.2</v>
      </c>
      <c r="N22" s="15">
        <v>4.2999999999999997E-2</v>
      </c>
      <c r="O22" s="5">
        <f>N22*K22</f>
        <v>0.42999999999999994</v>
      </c>
      <c r="P22" s="6" t="s">
        <v>174</v>
      </c>
    </row>
    <row r="23" spans="1:16" ht="15.75" thickBot="1" x14ac:dyDescent="0.3">
      <c r="A23" s="1">
        <v>21</v>
      </c>
      <c r="B23" s="48"/>
      <c r="C23" s="28" t="s">
        <v>98</v>
      </c>
      <c r="D23" s="24" t="s">
        <v>99</v>
      </c>
      <c r="E23" s="22" t="s">
        <v>100</v>
      </c>
      <c r="F23" s="22" t="s">
        <v>101</v>
      </c>
      <c r="G23" s="22" t="s">
        <v>36</v>
      </c>
      <c r="H23" s="14" t="s">
        <v>202</v>
      </c>
      <c r="I23" s="22" t="s">
        <v>166</v>
      </c>
      <c r="J23" s="19">
        <v>1</v>
      </c>
      <c r="K23" s="10">
        <f t="shared" si="2"/>
        <v>5</v>
      </c>
      <c r="L23" s="15">
        <v>0.1</v>
      </c>
      <c r="M23" s="5">
        <f>L23*J23</f>
        <v>0.1</v>
      </c>
      <c r="N23" s="15">
        <v>0.1</v>
      </c>
      <c r="O23" s="5">
        <f>N23*K23</f>
        <v>0.5</v>
      </c>
      <c r="P23" s="6"/>
    </row>
    <row r="24" spans="1:16" ht="15.75" thickBot="1" x14ac:dyDescent="0.3">
      <c r="A24" s="1">
        <v>22</v>
      </c>
      <c r="B24" s="48"/>
      <c r="C24" s="28" t="s">
        <v>102</v>
      </c>
      <c r="D24" s="24" t="s">
        <v>103</v>
      </c>
      <c r="E24" s="22" t="s">
        <v>100</v>
      </c>
      <c r="F24" s="22" t="s">
        <v>104</v>
      </c>
      <c r="G24" s="22" t="s">
        <v>36</v>
      </c>
      <c r="H24" s="14" t="s">
        <v>202</v>
      </c>
      <c r="I24" s="22" t="s">
        <v>167</v>
      </c>
      <c r="J24" s="19">
        <v>2</v>
      </c>
      <c r="K24" s="10">
        <f t="shared" si="2"/>
        <v>10</v>
      </c>
      <c r="L24" s="15">
        <v>0.1</v>
      </c>
      <c r="M24" s="5">
        <f>L24*J24</f>
        <v>0.2</v>
      </c>
      <c r="N24" s="15">
        <v>0.04</v>
      </c>
      <c r="O24" s="5">
        <f>N24*K24</f>
        <v>0.4</v>
      </c>
      <c r="P24" s="6"/>
    </row>
    <row r="25" spans="1:16" ht="15.75" thickBot="1" x14ac:dyDescent="0.3">
      <c r="A25" s="1">
        <v>23</v>
      </c>
      <c r="B25" s="48"/>
      <c r="C25" s="28" t="s">
        <v>105</v>
      </c>
      <c r="D25" s="24" t="s">
        <v>106</v>
      </c>
      <c r="E25" s="22" t="s">
        <v>100</v>
      </c>
      <c r="F25" s="22" t="s">
        <v>107</v>
      </c>
      <c r="G25" s="22" t="s">
        <v>36</v>
      </c>
      <c r="H25" s="14" t="s">
        <v>202</v>
      </c>
      <c r="I25" s="22" t="s">
        <v>168</v>
      </c>
      <c r="J25" s="19">
        <v>2</v>
      </c>
      <c r="K25" s="10">
        <f t="shared" si="2"/>
        <v>10</v>
      </c>
      <c r="L25" s="15">
        <v>0.1</v>
      </c>
      <c r="M25" s="5">
        <f>L25*J25</f>
        <v>0.2</v>
      </c>
      <c r="N25" s="15">
        <v>0.02</v>
      </c>
      <c r="O25" s="5">
        <f>N25*K25</f>
        <v>0.2</v>
      </c>
      <c r="P25" s="6"/>
    </row>
    <row r="26" spans="1:16" ht="15.75" thickBot="1" x14ac:dyDescent="0.3">
      <c r="A26" s="1">
        <v>24</v>
      </c>
      <c r="B26" s="49"/>
      <c r="C26" s="28" t="s">
        <v>108</v>
      </c>
      <c r="D26" s="24" t="s">
        <v>109</v>
      </c>
      <c r="E26" s="22" t="s">
        <v>27</v>
      </c>
      <c r="F26" s="22" t="s">
        <v>110</v>
      </c>
      <c r="G26" s="22" t="s">
        <v>36</v>
      </c>
      <c r="H26" s="14" t="s">
        <v>202</v>
      </c>
      <c r="I26" s="22" t="s">
        <v>169</v>
      </c>
      <c r="J26" s="19">
        <v>1</v>
      </c>
      <c r="K26" s="10">
        <f t="shared" si="2"/>
        <v>5</v>
      </c>
      <c r="L26" s="15">
        <v>0.10100000000000001</v>
      </c>
      <c r="M26" s="5">
        <f>L26*J26</f>
        <v>0.10100000000000001</v>
      </c>
      <c r="N26" s="15">
        <v>0.10100000000000001</v>
      </c>
      <c r="O26" s="5">
        <f>N26*K26</f>
        <v>0.505</v>
      </c>
      <c r="P26" s="6"/>
    </row>
    <row r="27" spans="1:16" ht="15.75" thickBot="1" x14ac:dyDescent="0.3">
      <c r="A27" s="1">
        <v>25</v>
      </c>
      <c r="B27" s="48" t="s">
        <v>199</v>
      </c>
      <c r="C27" s="28" t="s">
        <v>111</v>
      </c>
      <c r="D27" s="24" t="s">
        <v>112</v>
      </c>
      <c r="E27" s="22" t="s">
        <v>31</v>
      </c>
      <c r="F27" s="22" t="s">
        <v>113</v>
      </c>
      <c r="G27" s="22" t="s">
        <v>149</v>
      </c>
      <c r="H27" s="14" t="s">
        <v>202</v>
      </c>
      <c r="I27" s="22" t="s">
        <v>194</v>
      </c>
      <c r="J27" s="19">
        <v>1</v>
      </c>
      <c r="K27" s="10">
        <f t="shared" si="2"/>
        <v>5</v>
      </c>
      <c r="L27" s="15">
        <v>0.51</v>
      </c>
      <c r="M27" s="5">
        <f>L27*J27</f>
        <v>0.51</v>
      </c>
      <c r="N27" s="15">
        <v>0.51</v>
      </c>
      <c r="O27" s="5">
        <f>N27*K27</f>
        <v>2.5499999999999998</v>
      </c>
      <c r="P27" s="6"/>
    </row>
    <row r="28" spans="1:16" ht="15.75" thickBot="1" x14ac:dyDescent="0.3">
      <c r="A28" s="1">
        <v>26</v>
      </c>
      <c r="B28" s="48"/>
      <c r="C28" s="28" t="s">
        <v>114</v>
      </c>
      <c r="D28" s="24" t="s">
        <v>115</v>
      </c>
      <c r="E28" s="22" t="s">
        <v>25</v>
      </c>
      <c r="F28" s="22" t="s">
        <v>116</v>
      </c>
      <c r="G28" s="22" t="s">
        <v>150</v>
      </c>
      <c r="H28" s="14" t="s">
        <v>202</v>
      </c>
      <c r="I28" s="22" t="s">
        <v>194</v>
      </c>
      <c r="J28" s="19">
        <v>1</v>
      </c>
      <c r="K28" s="10">
        <f t="shared" si="2"/>
        <v>5</v>
      </c>
      <c r="L28" s="15">
        <v>1.5</v>
      </c>
      <c r="M28" s="5">
        <f>L28*J28</f>
        <v>1.5</v>
      </c>
      <c r="N28" s="15">
        <v>1.5</v>
      </c>
      <c r="O28" s="5">
        <f>N28*K28</f>
        <v>7.5</v>
      </c>
      <c r="P28" s="6"/>
    </row>
    <row r="29" spans="1:16" ht="26.25" thickBot="1" x14ac:dyDescent="0.3">
      <c r="A29" s="1">
        <v>27</v>
      </c>
      <c r="B29" s="48"/>
      <c r="C29" s="28" t="s">
        <v>117</v>
      </c>
      <c r="D29" s="24" t="s">
        <v>118</v>
      </c>
      <c r="E29" s="22" t="s">
        <v>119</v>
      </c>
      <c r="F29" s="22" t="s">
        <v>120</v>
      </c>
      <c r="G29" s="22" t="s">
        <v>151</v>
      </c>
      <c r="H29" s="14" t="s">
        <v>202</v>
      </c>
      <c r="I29" s="22" t="s">
        <v>194</v>
      </c>
      <c r="J29" s="19">
        <v>1</v>
      </c>
      <c r="K29" s="10">
        <f t="shared" si="2"/>
        <v>5</v>
      </c>
      <c r="L29" s="15">
        <v>1.28</v>
      </c>
      <c r="M29" s="5">
        <f>L29*J29</f>
        <v>1.28</v>
      </c>
      <c r="N29" s="15">
        <v>1.28</v>
      </c>
      <c r="O29" s="5">
        <f>N29*K29</f>
        <v>6.4</v>
      </c>
      <c r="P29" s="6"/>
    </row>
    <row r="30" spans="1:16" ht="15.75" thickBot="1" x14ac:dyDescent="0.3">
      <c r="A30" s="1">
        <v>28</v>
      </c>
      <c r="B30" s="48"/>
      <c r="C30" s="28" t="s">
        <v>121</v>
      </c>
      <c r="D30" s="24" t="s">
        <v>122</v>
      </c>
      <c r="E30" s="22" t="s">
        <v>123</v>
      </c>
      <c r="F30" s="22" t="s">
        <v>124</v>
      </c>
      <c r="G30" s="22" t="s">
        <v>152</v>
      </c>
      <c r="H30" s="14" t="s">
        <v>202</v>
      </c>
      <c r="I30" s="22" t="s">
        <v>194</v>
      </c>
      <c r="J30" s="19">
        <v>1</v>
      </c>
      <c r="K30" s="10">
        <f t="shared" si="2"/>
        <v>5</v>
      </c>
      <c r="L30" s="15"/>
      <c r="M30" s="5">
        <f>L30*J30</f>
        <v>0</v>
      </c>
      <c r="N30" s="15"/>
      <c r="O30" s="5">
        <f>N30*K30</f>
        <v>0</v>
      </c>
      <c r="P30" s="54" t="s">
        <v>206</v>
      </c>
    </row>
    <row r="31" spans="1:16" ht="26.25" thickBot="1" x14ac:dyDescent="0.3">
      <c r="A31" s="1">
        <v>29</v>
      </c>
      <c r="B31" s="48"/>
      <c r="C31" s="28" t="s">
        <v>125</v>
      </c>
      <c r="D31" s="24" t="s">
        <v>126</v>
      </c>
      <c r="E31" s="22" t="s">
        <v>127</v>
      </c>
      <c r="F31" s="22" t="s">
        <v>128</v>
      </c>
      <c r="G31" s="22" t="s">
        <v>2</v>
      </c>
      <c r="H31" s="14" t="s">
        <v>202</v>
      </c>
      <c r="I31" s="22" t="s">
        <v>194</v>
      </c>
      <c r="J31" s="19">
        <v>1</v>
      </c>
      <c r="K31" s="10">
        <f t="shared" si="2"/>
        <v>5</v>
      </c>
      <c r="L31" s="15">
        <v>1</v>
      </c>
      <c r="M31" s="5">
        <f>L31*J31</f>
        <v>1</v>
      </c>
      <c r="N31" s="15">
        <v>1</v>
      </c>
      <c r="O31" s="5">
        <f>N31*K31</f>
        <v>5</v>
      </c>
      <c r="P31" s="6"/>
    </row>
    <row r="32" spans="1:16" ht="15.75" thickBot="1" x14ac:dyDescent="0.3">
      <c r="A32" s="1">
        <v>30</v>
      </c>
      <c r="B32" s="48"/>
      <c r="C32" s="28" t="s">
        <v>129</v>
      </c>
      <c r="D32" s="24" t="s">
        <v>130</v>
      </c>
      <c r="E32" s="22" t="s">
        <v>186</v>
      </c>
      <c r="F32" s="22" t="s">
        <v>131</v>
      </c>
      <c r="G32" s="22" t="s">
        <v>153</v>
      </c>
      <c r="H32" s="14" t="s">
        <v>202</v>
      </c>
      <c r="I32" s="22" t="s">
        <v>194</v>
      </c>
      <c r="J32" s="19">
        <v>1</v>
      </c>
      <c r="K32" s="10">
        <f t="shared" si="2"/>
        <v>5</v>
      </c>
      <c r="L32" s="15">
        <v>0.73</v>
      </c>
      <c r="M32" s="5">
        <f>L32*J32</f>
        <v>0.73</v>
      </c>
      <c r="N32" s="15">
        <v>0.73</v>
      </c>
      <c r="O32" s="5">
        <f>N32*K32</f>
        <v>3.65</v>
      </c>
      <c r="P32" s="6"/>
    </row>
    <row r="33" spans="1:16" ht="26.25" thickBot="1" x14ac:dyDescent="0.3">
      <c r="A33" s="1">
        <v>31</v>
      </c>
      <c r="B33" s="32" t="s">
        <v>200</v>
      </c>
      <c r="C33" s="28" t="s">
        <v>132</v>
      </c>
      <c r="D33" s="24" t="s">
        <v>133</v>
      </c>
      <c r="E33" s="22" t="s">
        <v>186</v>
      </c>
      <c r="F33" s="22" t="s">
        <v>134</v>
      </c>
      <c r="G33" s="22" t="s">
        <v>154</v>
      </c>
      <c r="H33" s="14" t="s">
        <v>173</v>
      </c>
      <c r="I33" s="22" t="s">
        <v>170</v>
      </c>
      <c r="J33" s="19">
        <v>1</v>
      </c>
      <c r="K33" s="10">
        <f t="shared" si="2"/>
        <v>5</v>
      </c>
      <c r="L33" s="15">
        <v>1.33</v>
      </c>
      <c r="M33" s="5">
        <f>L33*J33</f>
        <v>1.33</v>
      </c>
      <c r="N33" s="15">
        <v>1.33</v>
      </c>
      <c r="O33" s="5">
        <f>N33*K33</f>
        <v>6.65</v>
      </c>
      <c r="P33" s="6" t="s">
        <v>174</v>
      </c>
    </row>
    <row r="34" spans="1:16" ht="15.75" thickBot="1" x14ac:dyDescent="0.3">
      <c r="A34" s="1">
        <v>32</v>
      </c>
      <c r="B34" s="48" t="s">
        <v>201</v>
      </c>
      <c r="C34" s="28" t="s">
        <v>187</v>
      </c>
      <c r="D34" s="24" t="s">
        <v>188</v>
      </c>
      <c r="E34" s="22" t="s">
        <v>189</v>
      </c>
      <c r="F34" s="22" t="s">
        <v>190</v>
      </c>
      <c r="G34" s="22" t="s">
        <v>139</v>
      </c>
      <c r="H34" s="14" t="s">
        <v>202</v>
      </c>
      <c r="I34" s="22" t="s">
        <v>204</v>
      </c>
      <c r="J34" s="19">
        <v>1</v>
      </c>
      <c r="K34" s="10">
        <f t="shared" si="2"/>
        <v>5</v>
      </c>
      <c r="L34" s="15">
        <v>0.18</v>
      </c>
      <c r="M34" s="5">
        <f>L34*J34</f>
        <v>0.18</v>
      </c>
      <c r="N34" s="15">
        <v>0.18</v>
      </c>
      <c r="O34" s="5">
        <f>N34*K34</f>
        <v>0.89999999999999991</v>
      </c>
      <c r="P34" s="6"/>
    </row>
    <row r="35" spans="1:16" ht="15.75" thickBot="1" x14ac:dyDescent="0.3">
      <c r="A35" s="1">
        <v>33</v>
      </c>
      <c r="B35" s="48"/>
      <c r="C35" s="29" t="s">
        <v>180</v>
      </c>
      <c r="D35" s="24" t="s">
        <v>181</v>
      </c>
      <c r="E35" s="24" t="s">
        <v>186</v>
      </c>
      <c r="F35" s="24" t="s">
        <v>182</v>
      </c>
      <c r="G35" s="24" t="s">
        <v>183</v>
      </c>
      <c r="H35" s="14" t="s">
        <v>202</v>
      </c>
      <c r="I35" s="22" t="s">
        <v>204</v>
      </c>
      <c r="J35" s="19">
        <v>1</v>
      </c>
      <c r="K35" s="10">
        <f t="shared" si="2"/>
        <v>5</v>
      </c>
      <c r="L35" s="15"/>
      <c r="M35" s="5"/>
      <c r="N35" s="15"/>
      <c r="O35" s="5"/>
      <c r="P35" s="6"/>
    </row>
    <row r="36" spans="1:16" ht="26.25" thickBot="1" x14ac:dyDescent="0.3">
      <c r="A36" s="1">
        <v>34</v>
      </c>
      <c r="B36" s="48"/>
      <c r="C36" s="28" t="s">
        <v>70</v>
      </c>
      <c r="D36" s="24" t="s">
        <v>71</v>
      </c>
      <c r="E36" s="22" t="s">
        <v>186</v>
      </c>
      <c r="F36" s="22" t="s">
        <v>72</v>
      </c>
      <c r="G36" s="22" t="s">
        <v>144</v>
      </c>
      <c r="H36" s="14" t="s">
        <v>202</v>
      </c>
      <c r="I36" s="22" t="s">
        <v>204</v>
      </c>
      <c r="J36" s="19">
        <v>1</v>
      </c>
      <c r="K36" s="19">
        <f>J36*5</f>
        <v>5</v>
      </c>
      <c r="L36" s="20">
        <v>0.17</v>
      </c>
      <c r="M36" s="21">
        <f>L36*J36</f>
        <v>0.17</v>
      </c>
      <c r="N36" s="20">
        <v>0.17</v>
      </c>
      <c r="O36" s="21">
        <f>N36*K36</f>
        <v>0.85000000000000009</v>
      </c>
      <c r="P36" s="7"/>
    </row>
    <row r="37" spans="1:16" ht="19.5" customHeight="1" thickBot="1" x14ac:dyDescent="0.3">
      <c r="A37" s="1">
        <v>35</v>
      </c>
      <c r="B37" s="48"/>
      <c r="C37" s="30" t="s">
        <v>184</v>
      </c>
      <c r="D37" s="25" t="s">
        <v>185</v>
      </c>
      <c r="E37" s="25" t="s">
        <v>69</v>
      </c>
      <c r="F37" s="25" t="s">
        <v>69</v>
      </c>
      <c r="G37" s="25" t="s">
        <v>192</v>
      </c>
      <c r="H37" s="25" t="s">
        <v>193</v>
      </c>
      <c r="I37" s="25" t="s">
        <v>194</v>
      </c>
      <c r="J37" s="26">
        <v>3</v>
      </c>
      <c r="K37" s="12">
        <f>J37*5</f>
        <v>15</v>
      </c>
      <c r="L37" s="17"/>
      <c r="M37" s="13">
        <f>L37*J37</f>
        <v>0</v>
      </c>
      <c r="N37" s="17"/>
      <c r="O37" s="13">
        <f>N37*K37</f>
        <v>0</v>
      </c>
      <c r="P37" s="18" t="s">
        <v>176</v>
      </c>
    </row>
    <row r="38" spans="1:16" ht="19.5" customHeight="1" thickBot="1" x14ac:dyDescent="0.3">
      <c r="A38" s="35">
        <v>36</v>
      </c>
      <c r="B38" s="49"/>
      <c r="C38" s="36" t="s">
        <v>22</v>
      </c>
      <c r="D38" s="37" t="s">
        <v>191</v>
      </c>
      <c r="E38" s="37" t="s">
        <v>23</v>
      </c>
      <c r="F38" s="37" t="s">
        <v>23</v>
      </c>
      <c r="G38" s="37" t="s">
        <v>192</v>
      </c>
      <c r="H38" s="37" t="s">
        <v>193</v>
      </c>
      <c r="I38" s="37" t="s">
        <v>194</v>
      </c>
      <c r="J38" s="38">
        <v>4</v>
      </c>
      <c r="K38" s="39">
        <f>J38*5</f>
        <v>20</v>
      </c>
      <c r="L38" s="40"/>
      <c r="M38" s="41">
        <f>L38*J38</f>
        <v>0</v>
      </c>
      <c r="N38" s="40"/>
      <c r="O38" s="41">
        <f>N38*K38</f>
        <v>0</v>
      </c>
      <c r="P38" s="42" t="s">
        <v>177</v>
      </c>
    </row>
    <row r="39" spans="1:16" ht="18.75" customHeight="1" thickBot="1" x14ac:dyDescent="0.35">
      <c r="G39" s="53" t="s">
        <v>205</v>
      </c>
      <c r="H39" s="53"/>
      <c r="I39" s="53"/>
      <c r="J39" s="53"/>
      <c r="K39" s="53"/>
      <c r="L39" s="53"/>
      <c r="M39" s="2">
        <f>SUM(M3:M38)</f>
        <v>19.761299999999999</v>
      </c>
      <c r="O39" s="3">
        <f>SUM(O3:O38)</f>
        <v>92.97150000000002</v>
      </c>
    </row>
    <row r="40" spans="1:16" ht="18.75" x14ac:dyDescent="0.3">
      <c r="G40" s="43" t="s">
        <v>15</v>
      </c>
      <c r="H40" s="43"/>
      <c r="I40" s="43"/>
      <c r="J40" s="43"/>
      <c r="K40" s="43"/>
      <c r="L40" s="43"/>
      <c r="M40" s="3"/>
      <c r="O40" s="3">
        <f>O39/5</f>
        <v>18.594300000000004</v>
      </c>
    </row>
  </sheetData>
  <mergeCells count="8">
    <mergeCell ref="A1:P1"/>
    <mergeCell ref="G39:L39"/>
    <mergeCell ref="G40:L40"/>
    <mergeCell ref="B3:B12"/>
    <mergeCell ref="B14:B17"/>
    <mergeCell ref="B19:B26"/>
    <mergeCell ref="B27:B32"/>
    <mergeCell ref="B34:B38"/>
  </mergeCells>
  <phoneticPr fontId="5" type="noConversion"/>
  <conditionalFormatting sqref="M3:M38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O3:O38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{EA6B6037-A035-49C7-B24F-FF6A26E8D0C5}</x14:id>
        </ext>
      </extLst>
    </cfRule>
  </conditionalFormatting>
  <conditionalFormatting sqref="M39:O39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J3:K38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M3:M38</xm:sqref>
        </x14:conditionalFormatting>
        <x14:conditionalFormatting xmlns:xm="http://schemas.microsoft.com/office/excel/2006/main">
          <x14:cfRule type="dataBar" id="{EA6B6037-A035-49C7-B24F-FF6A26E8D0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O3:O38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M39:O39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Ibrahim_Main_Board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Waqar</cp:lastModifiedBy>
  <dcterms:created xsi:type="dcterms:W3CDTF">2021-07-08T08:22:22Z</dcterms:created>
  <dcterms:modified xsi:type="dcterms:W3CDTF">2021-08-04T14:17:38Z</dcterms:modified>
</cp:coreProperties>
</file>