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D:\eSpark\IbrahimHyder-ReverseEngineering\Deliverables\BOM\DigiKey_BOMs\"/>
    </mc:Choice>
  </mc:AlternateContent>
  <xr:revisionPtr revIDLastSave="0" documentId="13_ncr:1_{8CFF0F18-1DBA-438B-9767-AA1C936E9B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_Bottom_Board" sheetId="1" r:id="rId1"/>
  </sheets>
  <definedNames>
    <definedName name="_xlnm.Print_Titles" localSheetId="0">SM_Bottom_Board!#REF!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9" i="1" l="1"/>
  <c r="P19" i="1"/>
  <c r="V13" i="1"/>
  <c r="R9" i="1"/>
  <c r="R4" i="1"/>
  <c r="P4" i="1"/>
  <c r="K15" i="1"/>
  <c r="L15" i="1"/>
  <c r="M15" i="1"/>
  <c r="P15" i="1"/>
  <c r="R15" i="1"/>
  <c r="T15" i="1"/>
  <c r="V15" i="1"/>
  <c r="K16" i="1"/>
  <c r="L16" i="1"/>
  <c r="M16" i="1"/>
  <c r="P16" i="1"/>
  <c r="R16" i="1"/>
  <c r="T16" i="1"/>
  <c r="V16" i="1"/>
  <c r="K17" i="1"/>
  <c r="L17" i="1"/>
  <c r="M17" i="1"/>
  <c r="P17" i="1"/>
  <c r="R17" i="1"/>
  <c r="T17" i="1"/>
  <c r="V17" i="1"/>
  <c r="K18" i="1"/>
  <c r="L18" i="1"/>
  <c r="M18" i="1"/>
  <c r="V18" i="1" s="1"/>
  <c r="P18" i="1"/>
  <c r="R18" i="1"/>
  <c r="T18" i="1"/>
  <c r="K19" i="1"/>
  <c r="L19" i="1"/>
  <c r="M19" i="1"/>
  <c r="T19" i="1"/>
  <c r="V19" i="1"/>
  <c r="K20" i="1"/>
  <c r="L20" i="1"/>
  <c r="M20" i="1"/>
  <c r="P20" i="1"/>
  <c r="R20" i="1"/>
  <c r="T20" i="1"/>
  <c r="V20" i="1"/>
  <c r="K21" i="1"/>
  <c r="L21" i="1"/>
  <c r="M21" i="1"/>
  <c r="P21" i="1"/>
  <c r="R21" i="1"/>
  <c r="T21" i="1"/>
  <c r="V21" i="1"/>
  <c r="K22" i="1"/>
  <c r="L22" i="1"/>
  <c r="M22" i="1"/>
  <c r="V22" i="1" s="1"/>
  <c r="P22" i="1"/>
  <c r="R22" i="1"/>
  <c r="T22" i="1"/>
  <c r="K23" i="1"/>
  <c r="L23" i="1"/>
  <c r="M23" i="1"/>
  <c r="P23" i="1"/>
  <c r="R23" i="1"/>
  <c r="T23" i="1"/>
  <c r="V23" i="1"/>
  <c r="K24" i="1"/>
  <c r="L24" i="1"/>
  <c r="M24" i="1"/>
  <c r="P24" i="1"/>
  <c r="R24" i="1"/>
  <c r="T24" i="1"/>
  <c r="V24" i="1"/>
  <c r="K25" i="1"/>
  <c r="L25" i="1"/>
  <c r="T25" i="1" s="1"/>
  <c r="M25" i="1"/>
  <c r="P25" i="1"/>
  <c r="R25" i="1"/>
  <c r="V25" i="1"/>
  <c r="K26" i="1"/>
  <c r="L26" i="1"/>
  <c r="M26" i="1"/>
  <c r="V26" i="1" s="1"/>
  <c r="P26" i="1"/>
  <c r="R26" i="1"/>
  <c r="T26" i="1"/>
  <c r="K27" i="1"/>
  <c r="R27" i="1" s="1"/>
  <c r="L27" i="1"/>
  <c r="T27" i="1" s="1"/>
  <c r="M27" i="1"/>
  <c r="V27" i="1" s="1"/>
  <c r="P27" i="1"/>
  <c r="K28" i="1"/>
  <c r="R28" i="1" s="1"/>
  <c r="L28" i="1"/>
  <c r="M28" i="1"/>
  <c r="V28" i="1" s="1"/>
  <c r="P28" i="1"/>
  <c r="T28" i="1"/>
  <c r="K29" i="1"/>
  <c r="L29" i="1"/>
  <c r="T29" i="1" s="1"/>
  <c r="M29" i="1"/>
  <c r="P29" i="1"/>
  <c r="R29" i="1"/>
  <c r="V29" i="1"/>
  <c r="K30" i="1"/>
  <c r="L30" i="1"/>
  <c r="M30" i="1"/>
  <c r="V30" i="1" s="1"/>
  <c r="P30" i="1"/>
  <c r="R30" i="1"/>
  <c r="T30" i="1"/>
  <c r="K31" i="1"/>
  <c r="L31" i="1"/>
  <c r="T31" i="1" s="1"/>
  <c r="M31" i="1"/>
  <c r="P31" i="1"/>
  <c r="R31" i="1"/>
  <c r="V31" i="1"/>
  <c r="K32" i="1"/>
  <c r="L32" i="1"/>
  <c r="M32" i="1"/>
  <c r="P32" i="1"/>
  <c r="R32" i="1"/>
  <c r="T32" i="1"/>
  <c r="V32" i="1"/>
  <c r="K33" i="1"/>
  <c r="L33" i="1"/>
  <c r="M33" i="1"/>
  <c r="P33" i="1"/>
  <c r="R33" i="1"/>
  <c r="T33" i="1"/>
  <c r="V33" i="1"/>
  <c r="K34" i="1"/>
  <c r="L34" i="1"/>
  <c r="M34" i="1"/>
  <c r="P34" i="1"/>
  <c r="R34" i="1"/>
  <c r="T34" i="1"/>
  <c r="V34" i="1"/>
  <c r="K35" i="1"/>
  <c r="L35" i="1"/>
  <c r="M35" i="1"/>
  <c r="P35" i="1"/>
  <c r="R35" i="1"/>
  <c r="T35" i="1"/>
  <c r="V35" i="1"/>
  <c r="K36" i="1"/>
  <c r="L36" i="1"/>
  <c r="M36" i="1"/>
  <c r="V36" i="1" s="1"/>
  <c r="P36" i="1"/>
  <c r="R36" i="1"/>
  <c r="T36" i="1"/>
  <c r="K37" i="1"/>
  <c r="L37" i="1"/>
  <c r="M37" i="1"/>
  <c r="P37" i="1"/>
  <c r="R37" i="1"/>
  <c r="T37" i="1"/>
  <c r="V37" i="1"/>
  <c r="R11" i="1"/>
  <c r="P11" i="1"/>
  <c r="R10" i="1"/>
  <c r="R3" i="1"/>
  <c r="K5" i="1"/>
  <c r="R5" i="1" s="1"/>
  <c r="L5" i="1"/>
  <c r="T5" i="1" s="1"/>
  <c r="M5" i="1"/>
  <c r="V5" i="1" s="1"/>
  <c r="P5" i="1"/>
  <c r="K6" i="1"/>
  <c r="R6" i="1" s="1"/>
  <c r="L6" i="1"/>
  <c r="T6" i="1" s="1"/>
  <c r="M6" i="1"/>
  <c r="P6" i="1"/>
  <c r="V6" i="1"/>
  <c r="K7" i="1"/>
  <c r="L7" i="1"/>
  <c r="T7" i="1" s="1"/>
  <c r="M7" i="1"/>
  <c r="P7" i="1"/>
  <c r="R7" i="1"/>
  <c r="V7" i="1"/>
  <c r="K8" i="1"/>
  <c r="L8" i="1"/>
  <c r="M8" i="1"/>
  <c r="V8" i="1" s="1"/>
  <c r="P8" i="1"/>
  <c r="R8" i="1"/>
  <c r="T8" i="1"/>
  <c r="K9" i="1"/>
  <c r="L9" i="1"/>
  <c r="T9" i="1" s="1"/>
  <c r="M9" i="1"/>
  <c r="P9" i="1"/>
  <c r="V9" i="1"/>
  <c r="K10" i="1"/>
  <c r="L10" i="1"/>
  <c r="T10" i="1" s="1"/>
  <c r="M10" i="1"/>
  <c r="V10" i="1" s="1"/>
  <c r="P10" i="1"/>
  <c r="K11" i="1"/>
  <c r="L11" i="1"/>
  <c r="T11" i="1" s="1"/>
  <c r="M11" i="1"/>
  <c r="V11" i="1" s="1"/>
  <c r="K12" i="1"/>
  <c r="R12" i="1" s="1"/>
  <c r="L12" i="1"/>
  <c r="T12" i="1" s="1"/>
  <c r="M12" i="1"/>
  <c r="V12" i="1" s="1"/>
  <c r="P12" i="1"/>
  <c r="K13" i="1"/>
  <c r="R13" i="1" s="1"/>
  <c r="L13" i="1"/>
  <c r="T13" i="1" s="1"/>
  <c r="M13" i="1"/>
  <c r="P13" i="1"/>
  <c r="K14" i="1"/>
  <c r="R14" i="1" s="1"/>
  <c r="L14" i="1"/>
  <c r="T14" i="1" s="1"/>
  <c r="M14" i="1"/>
  <c r="V14" i="1" s="1"/>
  <c r="P14" i="1"/>
  <c r="P3" i="1"/>
  <c r="M4" i="1"/>
  <c r="V4" i="1" s="1"/>
  <c r="L4" i="1"/>
  <c r="T4" i="1" s="1"/>
  <c r="M3" i="1"/>
  <c r="V3" i="1" s="1"/>
  <c r="L3" i="1"/>
  <c r="T3" i="1" s="1"/>
  <c r="V38" i="1" l="1"/>
  <c r="V39" i="1" s="1"/>
  <c r="P39" i="1"/>
  <c r="T38" i="1"/>
  <c r="T39" i="1" s="1"/>
  <c r="K4" i="1"/>
  <c r="R38" i="1" s="1"/>
  <c r="R39" i="1" s="1"/>
  <c r="K3" i="1"/>
</calcChain>
</file>

<file path=xl/sharedStrings.xml><?xml version="1.0" encoding="utf-8"?>
<sst xmlns="http://schemas.openxmlformats.org/spreadsheetml/2006/main" count="277" uniqueCount="204">
  <si>
    <t>Description</t>
  </si>
  <si>
    <t>Designator</t>
  </si>
  <si>
    <t>Manufacturer</t>
  </si>
  <si>
    <t>S. No.</t>
  </si>
  <si>
    <t>Components</t>
  </si>
  <si>
    <t>Footprint (Package)</t>
  </si>
  <si>
    <t>Alternate</t>
  </si>
  <si>
    <t>Value</t>
  </si>
  <si>
    <t>Quantity (Per Board)</t>
  </si>
  <si>
    <t>Quantity 5</t>
  </si>
  <si>
    <t>DigiKey Link</t>
  </si>
  <si>
    <t>Unit Cost(1)</t>
  </si>
  <si>
    <t>Total Cost(1)</t>
  </si>
  <si>
    <t>Unit Cost (5 Boards)</t>
  </si>
  <si>
    <t>Total Cost (5)</t>
  </si>
  <si>
    <t>Remarks</t>
  </si>
  <si>
    <t>Bill of Material (BOM) for Cole Benson</t>
  </si>
  <si>
    <t xml:space="preserve">Total Component Cost </t>
  </si>
  <si>
    <t>Single Board Cost</t>
  </si>
  <si>
    <t>Manufacturer Part No:</t>
  </si>
  <si>
    <t>DigiKey</t>
  </si>
  <si>
    <t>Unit Cost(1000)</t>
  </si>
  <si>
    <t>Total Cost(1000)</t>
  </si>
  <si>
    <t>Unit Cost(5000)</t>
  </si>
  <si>
    <t>Total Cost(5000)</t>
  </si>
  <si>
    <t>Quantity 1000</t>
  </si>
  <si>
    <t>Quantity 5000</t>
  </si>
  <si>
    <t>CAP CER 0.1UF 50V X7R 0805</t>
  </si>
  <si>
    <t>Cap0805</t>
  </si>
  <si>
    <t>0805B104K500CT</t>
  </si>
  <si>
    <t>CAP CER 10UF 25V X5R 0603</t>
  </si>
  <si>
    <t>Cap0603</t>
  </si>
  <si>
    <t>C1608X5R1E106M080AC</t>
  </si>
  <si>
    <t>Conn Shrouded Header HDR 8 POS 1.5mm Solder ST SMD T/R</t>
  </si>
  <si>
    <t>J1</t>
  </si>
  <si>
    <t>B8B-ZR-SM4-TF(LF)(SN)</t>
  </si>
  <si>
    <t>Test Point ON</t>
  </si>
  <si>
    <t>TEST POINT</t>
  </si>
  <si>
    <t>Q1</t>
  </si>
  <si>
    <t>sot-23</t>
  </si>
  <si>
    <t>RES SMD 1K OHM 5% 1/8W 0805</t>
  </si>
  <si>
    <t>RES 0805</t>
  </si>
  <si>
    <t>CRCW08051K00JNEB</t>
  </si>
  <si>
    <t>RES 10K OHM 1% 1/8W 0805</t>
  </si>
  <si>
    <t>RMCF0805FT10K0</t>
  </si>
  <si>
    <t>SOT-23-6</t>
  </si>
  <si>
    <t>0.1uF</t>
  </si>
  <si>
    <t>10uF</t>
  </si>
  <si>
    <t>Test Point</t>
  </si>
  <si>
    <t>1K</t>
  </si>
  <si>
    <t>10K</t>
  </si>
  <si>
    <t>Yageo</t>
  </si>
  <si>
    <t>CAP CER 22UF 16V X5R 0805</t>
  </si>
  <si>
    <t>C1, C3</t>
  </si>
  <si>
    <t>CL21A226MOQNNNE</t>
  </si>
  <si>
    <t>C2, C9, C13, C15, C16, C18, C20, C22, C24, C26, C28, C29, C30, C36, C39, C40, C41</t>
  </si>
  <si>
    <t>CAP CER 1UF 25V X5R 0603</t>
  </si>
  <si>
    <t>C4, C5, C6, C7, C12, C25</t>
  </si>
  <si>
    <t>CC0603KRX5R8BB105</t>
  </si>
  <si>
    <t>220uF 16V 6.3mm 7.7mm 2000hrs 105℃ -55℃~+105℃ SMD,6.3x7.7mm Aluminum Electrolytic Capacitors - SMD RoHS</t>
  </si>
  <si>
    <t>C8</t>
  </si>
  <si>
    <t>RVT1C221M0607</t>
  </si>
  <si>
    <t>CAP CER 2.7PF 25V NP0 0402</t>
  </si>
  <si>
    <t>C10</t>
  </si>
  <si>
    <t>Cap0402</t>
  </si>
  <si>
    <t>04023A2R7BAT2A</t>
  </si>
  <si>
    <t>CAP CER 4.7PF 16V C0G/NP0 0402</t>
  </si>
  <si>
    <t>C11</t>
  </si>
  <si>
    <t>885012005023</t>
  </si>
  <si>
    <t>C14, C17, C19, C21, C23</t>
  </si>
  <si>
    <t>100uF ±20% 10V 5mm 5.4mm 2000hrs 105℃ -45℃~+105℃ SMD,5x5.4mm Aluminum Electrolytic Capacitors - SMD RoHS</t>
  </si>
  <si>
    <t>C27, C34, C38</t>
  </si>
  <si>
    <t>RVT1A101M0505</t>
  </si>
  <si>
    <t>CAP CER 20PF 50V C0G/NP0 0805</t>
  </si>
  <si>
    <t>C31, C32</t>
  </si>
  <si>
    <t>C0805C200J5GACTU</t>
  </si>
  <si>
    <t>CAP CER 0.1UF 35V X5R 0201</t>
  </si>
  <si>
    <t>C33</t>
  </si>
  <si>
    <t>CAP 0201</t>
  </si>
  <si>
    <t>GRM033R6YA104ME14D</t>
  </si>
  <si>
    <t>DIODE SCHOTTKY 40V 1A SMA</t>
  </si>
  <si>
    <t>D1</t>
  </si>
  <si>
    <t>DO-214AC</t>
  </si>
  <si>
    <t>SS14</t>
  </si>
  <si>
    <t/>
  </si>
  <si>
    <t>J3, J5</t>
  </si>
  <si>
    <t>SMD PAD</t>
  </si>
  <si>
    <t>XH Header Male Pin 0.098"(2.50mm) 2 Through Hole,P=2.5mm Wire To Board / Wire To Wire Connector RoHS</t>
  </si>
  <si>
    <t>J4</t>
  </si>
  <si>
    <t>B2B-XH-AM(LF)(SN)</t>
  </si>
  <si>
    <t>SMD Power Inductors RoHS</t>
  </si>
  <si>
    <t>L1</t>
  </si>
  <si>
    <t>CD54-4R7M</t>
  </si>
  <si>
    <t>Ferrite Bead 120 ohm, 3 A, 0805</t>
  </si>
  <si>
    <t>L2, L3</t>
  </si>
  <si>
    <t>BLM21PG121SN1D</t>
  </si>
  <si>
    <t>Ferrite Beads 120Ohm 25% 500mA 0603</t>
  </si>
  <si>
    <t>L4, L5, L6, L7, L8, L9, L10, L11, L12, L13, L14, L15</t>
  </si>
  <si>
    <t>BLM18AG121SN1D</t>
  </si>
  <si>
    <t>FIXED IND 1.6NH 660MA 150 MOHM</t>
  </si>
  <si>
    <t>L16</t>
  </si>
  <si>
    <t>Ind 0402</t>
  </si>
  <si>
    <t>HLC021R6BTTR</t>
  </si>
  <si>
    <t>P3, P4, P5</t>
  </si>
  <si>
    <t>SOT-23-3L MOSFETs RoHS</t>
  </si>
  <si>
    <t>SOT23-3</t>
  </si>
  <si>
    <t>ST3422A</t>
  </si>
  <si>
    <t>RES SMD 180K OHM 1% 1/20W 0201</t>
  </si>
  <si>
    <t>R1</t>
  </si>
  <si>
    <t>Res-0201</t>
  </si>
  <si>
    <t>RC0201FR-07180KL</t>
  </si>
  <si>
    <t>RES SMD 20K OHM 1% 1/20W 0201</t>
  </si>
  <si>
    <t>R2</t>
  </si>
  <si>
    <t>RC0201FR-0720KL</t>
  </si>
  <si>
    <t>R3, R6</t>
  </si>
  <si>
    <t>R4, R5</t>
  </si>
  <si>
    <t>Res Thick Film 0603 1.8K Ohm 1% 0.1W(1/10W) ±100ppm/C Molded SMD Paper T/R</t>
  </si>
  <si>
    <t>R7</t>
  </si>
  <si>
    <t>Res0603</t>
  </si>
  <si>
    <t>RC0603FR-071K8L</t>
  </si>
  <si>
    <t>RES SMD 10R 0.1W 0603</t>
  </si>
  <si>
    <t>R8, R9</t>
  </si>
  <si>
    <t>RC0603JR-0710RL</t>
  </si>
  <si>
    <t>RES SMD 47K OHM 5% 1/10W 0603</t>
  </si>
  <si>
    <t>R10, R12</t>
  </si>
  <si>
    <t>RC0603JR-0747KL</t>
  </si>
  <si>
    <t>Res Thick Film 0805 0 Ohm Epoxy Pad SMD T/R</t>
  </si>
  <si>
    <t>R11</t>
  </si>
  <si>
    <t>RC0805FR-070RL</t>
  </si>
  <si>
    <t>24V 2A SOT-23-6 DC-DC Converters RoHS</t>
  </si>
  <si>
    <t>U1</t>
  </si>
  <si>
    <t>SDB628</t>
  </si>
  <si>
    <t>IC REG LINEAR 3.3V 200MA SOT23</t>
  </si>
  <si>
    <t>U2</t>
  </si>
  <si>
    <t>XC6206P332MR-G</t>
  </si>
  <si>
    <t>PMIC - LDO voltage regulator Texas Instruments LM1117MPX-ADJ/NOPB Positivbe, adjustable SOT 223</t>
  </si>
  <si>
    <t>U3</t>
  </si>
  <si>
    <t>SOT-223</t>
  </si>
  <si>
    <t>LM1117MPX-ADJ/NOPB</t>
  </si>
  <si>
    <t>High Performance 32-bit Bluetooth Audio P</t>
  </si>
  <si>
    <t>U4</t>
  </si>
  <si>
    <t>48 LQFP</t>
  </si>
  <si>
    <t>BP1048B2</t>
  </si>
  <si>
    <t>Class D, Class AB 1-Channel (Mono) 11W x 1 @ 4Ω, 9W x 1 @ 4Ω 3V ~ 9V SOP-8_EP_150mil Audio Power OpAmps RoHS</t>
  </si>
  <si>
    <t>U5</t>
  </si>
  <si>
    <t>SOP-8</t>
  </si>
  <si>
    <t>HT8693</t>
  </si>
  <si>
    <t>RF ANT 2.4GHZ STAMPED MET SLD</t>
  </si>
  <si>
    <t>U6</t>
  </si>
  <si>
    <t>PRO-OB-440</t>
  </si>
  <si>
    <t>24MHz ±20ppm 20pF 40Ω SMD-5032_4P Crystals RoHS</t>
  </si>
  <si>
    <t>X1</t>
  </si>
  <si>
    <t>7I24000F20UCG</t>
  </si>
  <si>
    <t>Samsung</t>
  </si>
  <si>
    <t>Walsin Technologies</t>
  </si>
  <si>
    <t>Honor Elec</t>
  </si>
  <si>
    <t>Kyocera AVX</t>
  </si>
  <si>
    <t>Wurth Electronics</t>
  </si>
  <si>
    <t>TDK</t>
  </si>
  <si>
    <t>CX(Dongguan Chengxing Elec)</t>
  </si>
  <si>
    <t>KEMET</t>
  </si>
  <si>
    <t>Murata</t>
  </si>
  <si>
    <t>JST</t>
  </si>
  <si>
    <t>JST Sales America</t>
  </si>
  <si>
    <t>DMBJ</t>
  </si>
  <si>
    <t>STANSON Tech.</t>
  </si>
  <si>
    <t>Vishay Dale</t>
  </si>
  <si>
    <t>Stackpole Electronics</t>
  </si>
  <si>
    <t>SHOUDING</t>
  </si>
  <si>
    <t>Torex</t>
  </si>
  <si>
    <t>TI National Semiconductor</t>
  </si>
  <si>
    <t>MV Silicon</t>
  </si>
  <si>
    <t>Proant</t>
  </si>
  <si>
    <t>SJK(SHENZHEN CRYSTAL TECH)</t>
  </si>
  <si>
    <t>22uF</t>
  </si>
  <si>
    <t>1uF</t>
  </si>
  <si>
    <t>220uF</t>
  </si>
  <si>
    <t>2.7pF</t>
  </si>
  <si>
    <t>4.7pF</t>
  </si>
  <si>
    <t>100uF</t>
  </si>
  <si>
    <t>20pF</t>
  </si>
  <si>
    <t>SMD PADS</t>
  </si>
  <si>
    <t>4.7uH</t>
  </si>
  <si>
    <t>1.6nH</t>
  </si>
  <si>
    <t>180K</t>
  </si>
  <si>
    <t>20K</t>
  </si>
  <si>
    <t>1.8K</t>
  </si>
  <si>
    <t>10R</t>
  </si>
  <si>
    <t>47K</t>
  </si>
  <si>
    <t>0R</t>
  </si>
  <si>
    <t>24MHz</t>
  </si>
  <si>
    <t>Lcal Supplier</t>
  </si>
  <si>
    <t>GRM188R6YA106MA73D</t>
  </si>
  <si>
    <t>MDD（Microdiode Electronics）</t>
  </si>
  <si>
    <t>Local Supplier</t>
  </si>
  <si>
    <t>Mouser</t>
  </si>
  <si>
    <t>Arrow</t>
  </si>
  <si>
    <t>AC0805JR-0710KL</t>
  </si>
  <si>
    <t>Local supplier</t>
  </si>
  <si>
    <t>ECS-240-20-30B-TR</t>
  </si>
  <si>
    <t>Part unavailable. Similar alternate suggested.</t>
  </si>
  <si>
    <t>Bill of Material (BOM) for Ibrahim Task (Main Board)</t>
  </si>
  <si>
    <t>will not be mounted</t>
  </si>
  <si>
    <t>Will not be mounted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</si>
</sst>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&quot;$&quot;#,##0.000"/>
  </numFmts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rgb="FF444444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strike/>
      <u/>
      <sz val="10"/>
      <color rgb="FFFF0000"/>
      <name val="Calibri"/>
      <family val="2"/>
      <scheme val="minor"/>
    </font>
    <font>
      <sz val="10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1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65" fontId="0" fillId="0" borderId="0" xfId="0" applyNumberFormat="1"/>
    <xf numFmtId="164" fontId="0" fillId="0" borderId="0" xfId="0" applyNumberFormat="1"/>
    <xf numFmtId="0" fontId="1" fillId="2" borderId="6" xfId="0" applyFont="1" applyFill="1" applyBorder="1" applyAlignment="1">
      <alignment horizontal="center" vertical="center"/>
    </xf>
    <xf numFmtId="44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4" fillId="0" borderId="8" xfId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8" fillId="0" borderId="8" xfId="0" quotePrefix="1" applyFont="1" applyBorder="1" applyAlignment="1">
      <alignment vertical="center" wrapText="1"/>
    </xf>
    <xf numFmtId="0" fontId="9" fillId="0" borderId="1" xfId="0" quotePrefix="1" applyFont="1" applyBorder="1" applyAlignment="1">
      <alignment vertical="center"/>
    </xf>
    <xf numFmtId="0" fontId="8" fillId="0" borderId="1" xfId="0" quotePrefix="1" applyFont="1" applyBorder="1" applyAlignment="1">
      <alignment vertical="center" wrapText="1"/>
    </xf>
    <xf numFmtId="0" fontId="8" fillId="0" borderId="1" xfId="0" quotePrefix="1" applyFont="1" applyBorder="1" applyAlignment="1">
      <alignment vertical="center"/>
    </xf>
    <xf numFmtId="44" fontId="6" fillId="0" borderId="8" xfId="0" applyNumberFormat="1" applyFont="1" applyBorder="1" applyAlignment="1">
      <alignment vertical="center"/>
    </xf>
    <xf numFmtId="0" fontId="6" fillId="0" borderId="9" xfId="0" applyFont="1" applyBorder="1" applyAlignment="1">
      <alignment vertical="center" wrapText="1"/>
    </xf>
    <xf numFmtId="44" fontId="6" fillId="0" borderId="1" xfId="0" applyNumberFormat="1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 wrapText="1"/>
    </xf>
    <xf numFmtId="44" fontId="6" fillId="0" borderId="13" xfId="0" applyNumberFormat="1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8" fillId="0" borderId="10" xfId="0" applyFont="1" applyFill="1" applyBorder="1" applyAlignment="1">
      <alignment vertical="center"/>
    </xf>
    <xf numFmtId="0" fontId="8" fillId="0" borderId="1" xfId="0" quotePrefix="1" applyFont="1" applyFill="1" applyBorder="1" applyAlignment="1">
      <alignment vertical="center" wrapText="1"/>
    </xf>
    <xf numFmtId="44" fontId="8" fillId="0" borderId="1" xfId="0" applyNumberFormat="1" applyFont="1" applyFill="1" applyBorder="1" applyAlignment="1">
      <alignment vertical="center"/>
    </xf>
    <xf numFmtId="0" fontId="8" fillId="0" borderId="11" xfId="0" applyFont="1" applyFill="1" applyBorder="1" applyAlignment="1">
      <alignment vertical="center" wrapText="1"/>
    </xf>
    <xf numFmtId="0" fontId="6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wrapText="1"/>
    </xf>
    <xf numFmtId="0" fontId="5" fillId="3" borderId="0" xfId="0" applyFont="1" applyFill="1" applyBorder="1" applyAlignment="1">
      <alignment horizontal="center" wrapText="1"/>
    </xf>
    <xf numFmtId="0" fontId="12" fillId="4" borderId="10" xfId="0" applyFont="1" applyFill="1" applyBorder="1" applyAlignment="1">
      <alignment vertical="center"/>
    </xf>
    <xf numFmtId="0" fontId="13" fillId="4" borderId="1" xfId="0" quotePrefix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4" borderId="1" xfId="0" quotePrefix="1" applyFont="1" applyFill="1" applyBorder="1" applyAlignment="1">
      <alignment vertical="center" wrapText="1"/>
    </xf>
    <xf numFmtId="0" fontId="14" fillId="4" borderId="1" xfId="0" applyFont="1" applyFill="1" applyBorder="1" applyAlignment="1">
      <alignment horizontal="center" vertical="center"/>
    </xf>
    <xf numFmtId="0" fontId="15" fillId="4" borderId="8" xfId="1" applyFont="1" applyFill="1" applyBorder="1" applyAlignment="1">
      <alignment horizontal="center" vertical="center"/>
    </xf>
    <xf numFmtId="44" fontId="14" fillId="4" borderId="1" xfId="0" applyNumberFormat="1" applyFont="1" applyFill="1" applyBorder="1" applyAlignment="1">
      <alignment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0" borderId="13" xfId="0" quotePrefix="1" applyFont="1" applyBorder="1" applyAlignment="1">
      <alignment horizontal="center" vertical="center" wrapText="1"/>
    </xf>
    <xf numFmtId="165" fontId="6" fillId="0" borderId="8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Fill="1" applyBorder="1" applyAlignment="1">
      <alignment horizontal="center" vertical="center"/>
    </xf>
    <xf numFmtId="165" fontId="14" fillId="4" borderId="1" xfId="0" applyNumberFormat="1" applyFont="1" applyFill="1" applyBorder="1" applyAlignment="1">
      <alignment horizontal="center" vertical="center"/>
    </xf>
    <xf numFmtId="165" fontId="6" fillId="0" borderId="13" xfId="0" applyNumberFormat="1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4" fillId="4" borderId="1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murata-electronics/GRM033R6YA104ME14D/5027516?s=N4IgTCBcDaIOICUCyAGAzGhA2AmgQQEYUAWJAUQOIBEQBdAXyA" TargetMode="External"/><Relationship Id="rId13" Type="http://schemas.openxmlformats.org/officeDocument/2006/relationships/hyperlink" Target="https://www.digikey.com/en/products/detail/avx-corporation/HLC021R6BTTR/3528355?s=N4IgTCBcDaIBIBkDCAGMBGASgNgEIBV9MQBdAXyA" TargetMode="External"/><Relationship Id="rId18" Type="http://schemas.openxmlformats.org/officeDocument/2006/relationships/hyperlink" Target="https://www.digikey.com/en/products/detail/yageo/RC0603FR-071K8L/726874?s=N4IgTCBcDaIEoGEAMA2JBmAYnAtEg7AIwDSAHADIgC6AvkA" TargetMode="External"/><Relationship Id="rId3" Type="http://schemas.openxmlformats.org/officeDocument/2006/relationships/hyperlink" Target="https://www.digikey.com/en/products/detail/yageo/CC0603KRX5R8BB105/2833610?s=N4IgTCBcDaIMJwAwDZEGYDSAlAGgViwA4AhYgRkTxAF0BfIA" TargetMode="External"/><Relationship Id="rId21" Type="http://schemas.openxmlformats.org/officeDocument/2006/relationships/hyperlink" Target="https://octopart.com/click/track?country=PK&amp;ct=offers&amp;ppid=9293404&amp;sid=2401&amp;sig=08e11ce&amp;vpid=202863797" TargetMode="External"/><Relationship Id="rId7" Type="http://schemas.openxmlformats.org/officeDocument/2006/relationships/hyperlink" Target="https://www.digikey.com/en/products/detail/kemet/C0805C200J5GACTU/2212144?s=N4IgTCBcDaIMIAYAcCCscwIQKVQcQEE4AVAVRAF0BfIA" TargetMode="External"/><Relationship Id="rId12" Type="http://schemas.openxmlformats.org/officeDocument/2006/relationships/hyperlink" Target="https://www.digikey.com/en/products/detail/murata-electronics/BLM18AG121SN1D/584222?s=N4IgTCBcDaIEIBkCyBGAHAQQOIrCgygHIoAiIAugL5A" TargetMode="External"/><Relationship Id="rId17" Type="http://schemas.openxmlformats.org/officeDocument/2006/relationships/hyperlink" Target="https://www.digikey.com/en/products/detail/yageo/AC0805JR-0710KL/5897043" TargetMode="External"/><Relationship Id="rId2" Type="http://schemas.openxmlformats.org/officeDocument/2006/relationships/hyperlink" Target="https://www.digikey.com/en/products/detail/walsin-technology-corporation/0805B104K500CT/6707556?s=N4IgTCBcDaIAwA44FYBCBGOAWA0sucAwgCogC6AvkA" TargetMode="External"/><Relationship Id="rId16" Type="http://schemas.openxmlformats.org/officeDocument/2006/relationships/hyperlink" Target="https://www.digikey.com/en/products/detail/vishay-dale/CRCW08051K00JNEB/5074061?s=N4IgTCBcDaIMICU4HUAMAOVBWAjAaVVQCkA5AUQCEQBdAXyA" TargetMode="External"/><Relationship Id="rId20" Type="http://schemas.openxmlformats.org/officeDocument/2006/relationships/hyperlink" Target="https://www.digikey.com/en/products/detail/yageo/RC0603JR-0747KL/726794?s=N4IgTCBcDaIEoGEAMA2JBmAUnAtEg7ACz4DSAMiALoC%2BQA" TargetMode="External"/><Relationship Id="rId1" Type="http://schemas.openxmlformats.org/officeDocument/2006/relationships/hyperlink" Target="https://www.digikey.com/en/products/detail/samsung-electro-mechanics/CL21A226MOQNNNE/3888567" TargetMode="External"/><Relationship Id="rId6" Type="http://schemas.openxmlformats.org/officeDocument/2006/relationships/hyperlink" Target="https://www.digikey.com/en/products/detail/murata-electronics/GRM188R6YA106MA73D/5877411" TargetMode="External"/><Relationship Id="rId11" Type="http://schemas.openxmlformats.org/officeDocument/2006/relationships/hyperlink" Target="https://www.digikey.com/en/products/detail/murata-electronics/BLM21PG121SN1D/2588110?s=N4IgTCBcDaIEIBkCyYCMAFA4qtBlAcqgCIgC6AvkA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com/en/products/detail/w%C3%BCrth-elektronik/885012005023/5453294?s=N4IgTCBcDaIBxwKwAYCMZnJWAzCAugL5A" TargetMode="External"/><Relationship Id="rId15" Type="http://schemas.openxmlformats.org/officeDocument/2006/relationships/hyperlink" Target="https://www.arrow.com/en/products/rc0201fr-0720kl/yageo?utm_campaign=octopart_2020&amp;utm_currency=USD&amp;utm_keyword=RC0201FR0720KL&amp;utm_medium=aggregator&amp;utm_content=inv_listing&amp;region=nac&amp;utm_source=octopart" TargetMode="External"/><Relationship Id="rId23" Type="http://schemas.openxmlformats.org/officeDocument/2006/relationships/hyperlink" Target="https://www.digikey.com/en/products/detail/ecs-inc/ECS-240-20-30B-TR/813209" TargetMode="External"/><Relationship Id="rId10" Type="http://schemas.openxmlformats.org/officeDocument/2006/relationships/hyperlink" Target="https://www.digikey.com/en/products/detail/jst-sales-america-inc/B2B-XH-AM-LF-SN/1016630" TargetMode="External"/><Relationship Id="rId19" Type="http://schemas.openxmlformats.org/officeDocument/2006/relationships/hyperlink" Target="https://www.digikey.com/en/products/detail/yageo/RC0603JR-0710RL/726699?s=N4IgTCBcDaIEoGEAMA2JBmAUnAtEg7AIxJwAyIAugL5A" TargetMode="External"/><Relationship Id="rId4" Type="http://schemas.openxmlformats.org/officeDocument/2006/relationships/hyperlink" Target="https://www.digikey.com/en/products/detail/avx-corporation/04023A2R7BAT2A/1597178?s=N4IgTCBcDaIAwBY5gMwEEwCUDsAhNAKmGiALoC%2BQA" TargetMode="External"/><Relationship Id="rId9" Type="http://schemas.openxmlformats.org/officeDocument/2006/relationships/hyperlink" Target="https://www.digikey.com/en/products/detail/jst-sales-america-inc/B8B-ZR-SM4-TF-LF-SN/926594" TargetMode="External"/><Relationship Id="rId14" Type="http://schemas.openxmlformats.org/officeDocument/2006/relationships/hyperlink" Target="https://eu.mouser.com/ProductDetail/YAGEO/RC0201FR-07180KL?qs=%2Fha2pyFaduh5tGHiCozIb6aHIvB%252BDTnRveRGobNhuntNq8MrkXaOTVH6Xor88MgK&amp;utm_source=octopart&amp;utm_medium=aggregator&amp;utm_campaign=603-RC0201FR-07180KL&amp;utm_content=YAGEO" TargetMode="External"/><Relationship Id="rId22" Type="http://schemas.openxmlformats.org/officeDocument/2006/relationships/hyperlink" Target="https://www.digikey.com/en/products/detail/proant-ab/PRO-OB-440/4895679?s=N4IgTCBcDaIAoCUDyBaJAhFAWLAGEAugL5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39"/>
  <sheetViews>
    <sheetView tabSelected="1" topLeftCell="E26" zoomScale="78" zoomScaleNormal="78" workbookViewId="0">
      <selection activeCell="N35" sqref="N35"/>
    </sheetView>
  </sheetViews>
  <sheetFormatPr defaultRowHeight="15" x14ac:dyDescent="0.25"/>
  <cols>
    <col min="1" max="1" width="6.140625" bestFit="1" customWidth="1"/>
    <col min="2" max="2" width="16.5703125" customWidth="1"/>
    <col min="3" max="3" width="73.5703125" bestFit="1" customWidth="1"/>
    <col min="4" max="4" width="28.140625" customWidth="1"/>
    <col min="5" max="5" width="25" customWidth="1"/>
    <col min="6" max="6" width="28" customWidth="1"/>
    <col min="7" max="7" width="19.85546875" bestFit="1" customWidth="1"/>
    <col min="8" max="8" width="30.140625" customWidth="1"/>
    <col min="9" max="9" width="22.42578125" bestFit="1" customWidth="1"/>
    <col min="10" max="10" width="19.42578125" bestFit="1" customWidth="1"/>
    <col min="11" max="11" width="13.42578125" bestFit="1" customWidth="1"/>
    <col min="12" max="13" width="13.42578125" customWidth="1"/>
    <col min="14" max="14" width="15.7109375" bestFit="1" customWidth="1"/>
    <col min="15" max="15" width="14.5703125" bestFit="1" customWidth="1"/>
    <col min="16" max="16" width="15.85546875" bestFit="1" customWidth="1"/>
    <col min="17" max="17" width="18.5703125" customWidth="1"/>
    <col min="18" max="18" width="17.140625" bestFit="1" customWidth="1"/>
    <col min="19" max="19" width="17.140625" customWidth="1"/>
    <col min="20" max="20" width="18" customWidth="1"/>
    <col min="21" max="21" width="14.85546875" customWidth="1"/>
    <col min="22" max="22" width="19.5703125" customWidth="1"/>
    <col min="23" max="23" width="38.140625" customWidth="1"/>
  </cols>
  <sheetData>
    <row r="1" spans="1:40" ht="16.5" thickBot="1" x14ac:dyDescent="0.3">
      <c r="A1" s="36" t="s">
        <v>201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8"/>
      <c r="V1" s="36" t="s">
        <v>16</v>
      </c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8"/>
    </row>
    <row r="2" spans="1:40" ht="15.75" thickBot="1" x14ac:dyDescent="0.3">
      <c r="A2" s="1" t="s">
        <v>3</v>
      </c>
      <c r="B2" s="5" t="s">
        <v>4</v>
      </c>
      <c r="C2" s="5" t="s">
        <v>0</v>
      </c>
      <c r="D2" s="5" t="s">
        <v>1</v>
      </c>
      <c r="E2" s="5" t="s">
        <v>5</v>
      </c>
      <c r="F2" s="5" t="s">
        <v>19</v>
      </c>
      <c r="G2" s="5" t="s">
        <v>2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25</v>
      </c>
      <c r="M2" s="5" t="s">
        <v>26</v>
      </c>
      <c r="N2" s="5" t="s">
        <v>10</v>
      </c>
      <c r="O2" s="5" t="s">
        <v>11</v>
      </c>
      <c r="P2" s="5" t="s">
        <v>12</v>
      </c>
      <c r="Q2" s="5" t="s">
        <v>13</v>
      </c>
      <c r="R2" s="5" t="s">
        <v>14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15</v>
      </c>
    </row>
    <row r="3" spans="1:40" ht="15.75" thickBot="1" x14ac:dyDescent="0.3">
      <c r="A3" s="22">
        <v>1</v>
      </c>
      <c r="B3" s="26"/>
      <c r="C3" s="9" t="s">
        <v>52</v>
      </c>
      <c r="D3" s="9" t="s">
        <v>53</v>
      </c>
      <c r="E3" s="9" t="s">
        <v>28</v>
      </c>
      <c r="F3" s="9" t="s">
        <v>54</v>
      </c>
      <c r="G3" s="9" t="s">
        <v>153</v>
      </c>
      <c r="H3" s="11"/>
      <c r="I3" s="9" t="s">
        <v>174</v>
      </c>
      <c r="J3" s="7">
        <v>2</v>
      </c>
      <c r="K3" s="31">
        <f>J3*5</f>
        <v>10</v>
      </c>
      <c r="L3" s="31">
        <f>J3*1000</f>
        <v>2000</v>
      </c>
      <c r="M3" s="31">
        <f>J3*5000</f>
        <v>10000</v>
      </c>
      <c r="N3" s="8" t="s">
        <v>20</v>
      </c>
      <c r="O3" s="50">
        <v>0.3</v>
      </c>
      <c r="P3" s="15">
        <f>O3*J3</f>
        <v>0.6</v>
      </c>
      <c r="Q3" s="50">
        <v>0.20899999999999999</v>
      </c>
      <c r="R3" s="15">
        <f>(0.086*20)+(0.12*5)</f>
        <v>2.3199999999999998</v>
      </c>
      <c r="S3" s="50">
        <v>0.20899999999999999</v>
      </c>
      <c r="T3" s="15">
        <f>S3*L3</f>
        <v>418</v>
      </c>
      <c r="U3" s="55">
        <v>0.20899999999999999</v>
      </c>
      <c r="V3" s="15">
        <f>U3*M3</f>
        <v>2090</v>
      </c>
      <c r="W3" s="16"/>
    </row>
    <row r="4" spans="1:40" ht="45.75" thickBot="1" x14ac:dyDescent="0.3">
      <c r="A4" s="23">
        <v>2</v>
      </c>
      <c r="B4" s="24"/>
      <c r="C4" s="9" t="s">
        <v>27</v>
      </c>
      <c r="D4" s="9" t="s">
        <v>55</v>
      </c>
      <c r="E4" s="9" t="s">
        <v>28</v>
      </c>
      <c r="F4" s="9" t="s">
        <v>29</v>
      </c>
      <c r="G4" s="9" t="s">
        <v>154</v>
      </c>
      <c r="H4" s="12"/>
      <c r="I4" s="9" t="s">
        <v>46</v>
      </c>
      <c r="J4" s="7">
        <v>17</v>
      </c>
      <c r="K4" s="32">
        <f t="shared" ref="K4:K5" si="0">J4*5</f>
        <v>85</v>
      </c>
      <c r="L4" s="32">
        <f>J4*1000</f>
        <v>17000</v>
      </c>
      <c r="M4" s="32">
        <f>J4*5000</f>
        <v>85000</v>
      </c>
      <c r="N4" s="8" t="s">
        <v>20</v>
      </c>
      <c r="O4" s="51">
        <v>8.5999999999999993E-2</v>
      </c>
      <c r="P4" s="17">
        <f>(O4*10)+(0.12*7)</f>
        <v>1.6999999999999997</v>
      </c>
      <c r="Q4" s="51">
        <v>4.9000000000000002E-2</v>
      </c>
      <c r="R4" s="17">
        <f>(Q4*50)+(O4*30)+(0.12*5)</f>
        <v>5.629999999999999</v>
      </c>
      <c r="S4" s="51">
        <v>2.3519999999999999E-2</v>
      </c>
      <c r="T4" s="17">
        <f>S4*L4</f>
        <v>399.84</v>
      </c>
      <c r="U4" s="56">
        <v>2.3519999999999999E-2</v>
      </c>
      <c r="V4" s="17">
        <f>U4*M4</f>
        <v>1999.2</v>
      </c>
      <c r="W4" s="18"/>
    </row>
    <row r="5" spans="1:40" ht="15.75" thickBot="1" x14ac:dyDescent="0.3">
      <c r="A5" s="22">
        <v>3</v>
      </c>
      <c r="B5" s="24"/>
      <c r="C5" s="9" t="s">
        <v>56</v>
      </c>
      <c r="D5" s="9" t="s">
        <v>57</v>
      </c>
      <c r="E5" s="9" t="s">
        <v>31</v>
      </c>
      <c r="F5" s="9" t="s">
        <v>58</v>
      </c>
      <c r="G5" s="9" t="s">
        <v>51</v>
      </c>
      <c r="H5" s="13"/>
      <c r="I5" s="9" t="s">
        <v>175</v>
      </c>
      <c r="J5" s="7">
        <v>6</v>
      </c>
      <c r="K5" s="32">
        <f t="shared" si="0"/>
        <v>30</v>
      </c>
      <c r="L5" s="32">
        <f t="shared" ref="L5:L14" si="1">J5*1000</f>
        <v>6000</v>
      </c>
      <c r="M5" s="32">
        <f t="shared" ref="M5:M14" si="2">J5*5000</f>
        <v>30000</v>
      </c>
      <c r="N5" s="8" t="s">
        <v>20</v>
      </c>
      <c r="O5" s="51">
        <v>0.12</v>
      </c>
      <c r="P5" s="17">
        <f t="shared" ref="P5:P14" si="3">O5*J5</f>
        <v>0.72</v>
      </c>
      <c r="Q5" s="51">
        <v>8.4000000000000005E-2</v>
      </c>
      <c r="R5" s="17">
        <f t="shared" ref="R5:R14" si="4">Q5*K5</f>
        <v>2.52</v>
      </c>
      <c r="S5" s="51">
        <v>2.2880000000000001E-2</v>
      </c>
      <c r="T5" s="17">
        <f t="shared" ref="T5:T14" si="5">S5*L5</f>
        <v>137.28</v>
      </c>
      <c r="U5" s="56">
        <v>2.2880000000000001E-2</v>
      </c>
      <c r="V5" s="17">
        <f t="shared" ref="V5:V14" si="6">U5*M5</f>
        <v>686.4</v>
      </c>
      <c r="W5" s="19"/>
    </row>
    <row r="6" spans="1:40" ht="30.75" thickBot="1" x14ac:dyDescent="0.3">
      <c r="A6" s="23">
        <v>4</v>
      </c>
      <c r="B6" s="24"/>
      <c r="C6" s="9" t="s">
        <v>59</v>
      </c>
      <c r="D6" s="9" t="s">
        <v>60</v>
      </c>
      <c r="E6" s="9" t="s">
        <v>61</v>
      </c>
      <c r="F6" s="9" t="s">
        <v>61</v>
      </c>
      <c r="G6" s="9" t="s">
        <v>155</v>
      </c>
      <c r="H6" s="13"/>
      <c r="I6" s="9" t="s">
        <v>176</v>
      </c>
      <c r="J6" s="7">
        <v>1</v>
      </c>
      <c r="K6" s="32">
        <f t="shared" ref="K6:K14" si="7">J6*5</f>
        <v>5</v>
      </c>
      <c r="L6" s="32">
        <f t="shared" si="1"/>
        <v>1000</v>
      </c>
      <c r="M6" s="32">
        <f t="shared" si="2"/>
        <v>5000</v>
      </c>
      <c r="N6" s="35" t="s">
        <v>191</v>
      </c>
      <c r="O6" s="51">
        <v>9.5000000000000001E-2</v>
      </c>
      <c r="P6" s="17">
        <f t="shared" si="3"/>
        <v>9.5000000000000001E-2</v>
      </c>
      <c r="Q6" s="51">
        <v>9.5000000000000001E-2</v>
      </c>
      <c r="R6" s="17">
        <f t="shared" si="4"/>
        <v>0.47499999999999998</v>
      </c>
      <c r="S6" s="51">
        <v>8.6999999999999994E-2</v>
      </c>
      <c r="T6" s="17">
        <f t="shared" si="5"/>
        <v>87</v>
      </c>
      <c r="U6" s="56">
        <v>8.6999999999999994E-2</v>
      </c>
      <c r="V6" s="17">
        <f t="shared" si="6"/>
        <v>434.99999999999994</v>
      </c>
      <c r="W6" s="18"/>
    </row>
    <row r="7" spans="1:40" ht="15.75" thickBot="1" x14ac:dyDescent="0.3">
      <c r="A7" s="22">
        <v>5</v>
      </c>
      <c r="B7" s="27"/>
      <c r="C7" s="9" t="s">
        <v>62</v>
      </c>
      <c r="D7" s="9" t="s">
        <v>63</v>
      </c>
      <c r="E7" s="9" t="s">
        <v>64</v>
      </c>
      <c r="F7" s="9" t="s">
        <v>65</v>
      </c>
      <c r="G7" s="9" t="s">
        <v>156</v>
      </c>
      <c r="H7" s="28"/>
      <c r="I7" s="9" t="s">
        <v>177</v>
      </c>
      <c r="J7" s="7">
        <v>1</v>
      </c>
      <c r="K7" s="33">
        <f t="shared" si="7"/>
        <v>5</v>
      </c>
      <c r="L7" s="33">
        <f t="shared" si="1"/>
        <v>1000</v>
      </c>
      <c r="M7" s="33">
        <f t="shared" si="2"/>
        <v>5000</v>
      </c>
      <c r="N7" s="8" t="s">
        <v>20</v>
      </c>
      <c r="O7" s="52">
        <v>0.33</v>
      </c>
      <c r="P7" s="29">
        <f t="shared" si="3"/>
        <v>0.33</v>
      </c>
      <c r="Q7" s="52">
        <v>0.33</v>
      </c>
      <c r="R7" s="29">
        <f t="shared" si="4"/>
        <v>1.6500000000000001</v>
      </c>
      <c r="S7" s="52">
        <v>7.9699999999999993E-2</v>
      </c>
      <c r="T7" s="29">
        <f t="shared" si="5"/>
        <v>79.699999999999989</v>
      </c>
      <c r="U7" s="33">
        <v>7.9699999999999993E-2</v>
      </c>
      <c r="V7" s="29">
        <f t="shared" si="6"/>
        <v>398.49999999999994</v>
      </c>
      <c r="W7" s="30"/>
    </row>
    <row r="8" spans="1:40" ht="15.75" thickBot="1" x14ac:dyDescent="0.3">
      <c r="A8" s="23">
        <v>6</v>
      </c>
      <c r="B8" s="24"/>
      <c r="C8" s="9" t="s">
        <v>66</v>
      </c>
      <c r="D8" s="9" t="s">
        <v>67</v>
      </c>
      <c r="E8" s="9" t="s">
        <v>64</v>
      </c>
      <c r="F8" s="9" t="s">
        <v>68</v>
      </c>
      <c r="G8" s="9" t="s">
        <v>157</v>
      </c>
      <c r="H8" s="14"/>
      <c r="I8" s="9" t="s">
        <v>178</v>
      </c>
      <c r="J8" s="7">
        <v>1</v>
      </c>
      <c r="K8" s="32">
        <f t="shared" si="7"/>
        <v>5</v>
      </c>
      <c r="L8" s="32">
        <f t="shared" si="1"/>
        <v>1000</v>
      </c>
      <c r="M8" s="32">
        <f t="shared" si="2"/>
        <v>5000</v>
      </c>
      <c r="N8" s="8" t="s">
        <v>20</v>
      </c>
      <c r="O8" s="51">
        <v>0.1</v>
      </c>
      <c r="P8" s="17">
        <f t="shared" si="3"/>
        <v>0.1</v>
      </c>
      <c r="Q8" s="51">
        <v>0.1</v>
      </c>
      <c r="R8" s="17">
        <f t="shared" si="4"/>
        <v>0.5</v>
      </c>
      <c r="S8" s="51">
        <v>1.188E-2</v>
      </c>
      <c r="T8" s="17">
        <f t="shared" si="5"/>
        <v>11.88</v>
      </c>
      <c r="U8" s="51">
        <v>1.188E-2</v>
      </c>
      <c r="V8" s="17">
        <f t="shared" si="6"/>
        <v>59.4</v>
      </c>
      <c r="W8" s="18"/>
    </row>
    <row r="9" spans="1:40" ht="15.75" thickBot="1" x14ac:dyDescent="0.3">
      <c r="A9" s="22">
        <v>7</v>
      </c>
      <c r="B9" s="24"/>
      <c r="C9" s="9" t="s">
        <v>30</v>
      </c>
      <c r="D9" s="9" t="s">
        <v>69</v>
      </c>
      <c r="E9" s="9" t="s">
        <v>31</v>
      </c>
      <c r="F9" s="9" t="s">
        <v>32</v>
      </c>
      <c r="G9" s="9" t="s">
        <v>158</v>
      </c>
      <c r="H9" s="13" t="s">
        <v>192</v>
      </c>
      <c r="I9" s="9" t="s">
        <v>47</v>
      </c>
      <c r="J9" s="7">
        <v>5</v>
      </c>
      <c r="K9" s="32">
        <f t="shared" si="7"/>
        <v>25</v>
      </c>
      <c r="L9" s="32">
        <f t="shared" si="1"/>
        <v>5000</v>
      </c>
      <c r="M9" s="32">
        <f t="shared" si="2"/>
        <v>25000</v>
      </c>
      <c r="N9" s="8" t="s">
        <v>20</v>
      </c>
      <c r="O9" s="51">
        <v>0.45</v>
      </c>
      <c r="P9" s="17">
        <f t="shared" si="3"/>
        <v>2.25</v>
      </c>
      <c r="Q9" s="51">
        <v>0.315</v>
      </c>
      <c r="R9" s="17">
        <f>(Q9*20)+(O9*5)</f>
        <v>8.5500000000000007</v>
      </c>
      <c r="S9" s="51">
        <v>0.11952</v>
      </c>
      <c r="T9" s="17">
        <f t="shared" si="5"/>
        <v>597.6</v>
      </c>
      <c r="U9" s="56">
        <v>0.11952</v>
      </c>
      <c r="V9" s="17">
        <f t="shared" si="6"/>
        <v>2988</v>
      </c>
      <c r="W9" s="19"/>
    </row>
    <row r="10" spans="1:40" ht="30.75" thickBot="1" x14ac:dyDescent="0.3">
      <c r="A10" s="23">
        <v>8</v>
      </c>
      <c r="B10" s="24"/>
      <c r="C10" s="9" t="s">
        <v>70</v>
      </c>
      <c r="D10" s="9" t="s">
        <v>71</v>
      </c>
      <c r="E10" s="9" t="s">
        <v>72</v>
      </c>
      <c r="F10" s="9" t="s">
        <v>72</v>
      </c>
      <c r="G10" s="9" t="s">
        <v>159</v>
      </c>
      <c r="H10" s="14"/>
      <c r="I10" s="9" t="s">
        <v>179</v>
      </c>
      <c r="J10" s="7">
        <v>3</v>
      </c>
      <c r="K10" s="32">
        <f t="shared" si="7"/>
        <v>15</v>
      </c>
      <c r="L10" s="32">
        <f t="shared" si="1"/>
        <v>3000</v>
      </c>
      <c r="M10" s="32">
        <f t="shared" si="2"/>
        <v>15000</v>
      </c>
      <c r="N10" s="35" t="s">
        <v>191</v>
      </c>
      <c r="O10" s="51">
        <v>6.5000000000000002E-2</v>
      </c>
      <c r="P10" s="17">
        <f t="shared" si="3"/>
        <v>0.19500000000000001</v>
      </c>
      <c r="Q10" s="51">
        <v>6.5000000000000002E-2</v>
      </c>
      <c r="R10" s="17">
        <f>(0.266*10)+(0.31*5)</f>
        <v>4.21</v>
      </c>
      <c r="S10" s="51">
        <v>0.55000000000000004</v>
      </c>
      <c r="T10" s="17">
        <f t="shared" si="5"/>
        <v>1650.0000000000002</v>
      </c>
      <c r="U10" s="56">
        <v>0.51</v>
      </c>
      <c r="V10" s="17">
        <f t="shared" si="6"/>
        <v>7650</v>
      </c>
      <c r="W10" s="18"/>
    </row>
    <row r="11" spans="1:40" ht="30.75" customHeight="1" thickBot="1" x14ac:dyDescent="0.3">
      <c r="A11" s="22">
        <v>9</v>
      </c>
      <c r="B11" s="24"/>
      <c r="C11" s="9" t="s">
        <v>73</v>
      </c>
      <c r="D11" s="9" t="s">
        <v>74</v>
      </c>
      <c r="E11" s="9" t="s">
        <v>28</v>
      </c>
      <c r="F11" s="9" t="s">
        <v>75</v>
      </c>
      <c r="G11" s="9" t="s">
        <v>160</v>
      </c>
      <c r="H11" s="13"/>
      <c r="I11" s="9" t="s">
        <v>180</v>
      </c>
      <c r="J11" s="7">
        <v>2</v>
      </c>
      <c r="K11" s="32">
        <f t="shared" si="7"/>
        <v>10</v>
      </c>
      <c r="L11" s="32">
        <f t="shared" si="1"/>
        <v>2000</v>
      </c>
      <c r="M11" s="32">
        <f t="shared" si="2"/>
        <v>10000</v>
      </c>
      <c r="N11" s="8" t="s">
        <v>20</v>
      </c>
      <c r="O11" s="32">
        <v>0.3</v>
      </c>
      <c r="P11" s="17">
        <f>(O11*10)+0.1</f>
        <v>3.1</v>
      </c>
      <c r="Q11" s="32">
        <v>0.20699999999999999</v>
      </c>
      <c r="R11" s="17">
        <f>(Q11*50)+(0.1*5)</f>
        <v>10.85</v>
      </c>
      <c r="S11" s="51">
        <v>7.2450000000000001E-2</v>
      </c>
      <c r="T11" s="17">
        <f t="shared" si="5"/>
        <v>144.9</v>
      </c>
      <c r="U11" s="56">
        <v>7.2450000000000001E-2</v>
      </c>
      <c r="V11" s="17">
        <f t="shared" si="6"/>
        <v>724.5</v>
      </c>
      <c r="W11" s="19"/>
    </row>
    <row r="12" spans="1:40" ht="15.75" thickBot="1" x14ac:dyDescent="0.3">
      <c r="A12" s="23">
        <v>10</v>
      </c>
      <c r="B12" s="24"/>
      <c r="C12" s="9" t="s">
        <v>76</v>
      </c>
      <c r="D12" s="9" t="s">
        <v>77</v>
      </c>
      <c r="E12" s="9" t="s">
        <v>78</v>
      </c>
      <c r="F12" s="9" t="s">
        <v>79</v>
      </c>
      <c r="G12" s="9" t="s">
        <v>161</v>
      </c>
      <c r="H12" s="13"/>
      <c r="I12" s="9" t="s">
        <v>46</v>
      </c>
      <c r="J12" s="7">
        <v>1</v>
      </c>
      <c r="K12" s="32">
        <f t="shared" si="7"/>
        <v>5</v>
      </c>
      <c r="L12" s="32">
        <f t="shared" si="1"/>
        <v>1000</v>
      </c>
      <c r="M12" s="32">
        <f t="shared" si="2"/>
        <v>5000</v>
      </c>
      <c r="N12" s="8" t="s">
        <v>20</v>
      </c>
      <c r="O12" s="51">
        <v>0.1</v>
      </c>
      <c r="P12" s="17">
        <f t="shared" si="3"/>
        <v>0.1</v>
      </c>
      <c r="Q12" s="51">
        <v>0.1</v>
      </c>
      <c r="R12" s="17">
        <f t="shared" si="4"/>
        <v>0.5</v>
      </c>
      <c r="S12" s="51">
        <v>1.328E-2</v>
      </c>
      <c r="T12" s="17">
        <f t="shared" si="5"/>
        <v>13.28</v>
      </c>
      <c r="U12" s="56">
        <v>1.111E-2</v>
      </c>
      <c r="V12" s="17">
        <f t="shared" si="6"/>
        <v>55.55</v>
      </c>
      <c r="W12" s="18"/>
    </row>
    <row r="13" spans="1:40" ht="30.75" thickBot="1" x14ac:dyDescent="0.3">
      <c r="A13" s="22">
        <v>11</v>
      </c>
      <c r="B13" s="24"/>
      <c r="C13" s="9" t="s">
        <v>80</v>
      </c>
      <c r="D13" s="9" t="s">
        <v>81</v>
      </c>
      <c r="E13" s="9" t="s">
        <v>82</v>
      </c>
      <c r="F13" s="9" t="s">
        <v>83</v>
      </c>
      <c r="G13" s="9" t="s">
        <v>193</v>
      </c>
      <c r="H13" s="13"/>
      <c r="I13" s="9" t="s">
        <v>83</v>
      </c>
      <c r="J13" s="7">
        <v>1</v>
      </c>
      <c r="K13" s="32">
        <f t="shared" si="7"/>
        <v>5</v>
      </c>
      <c r="L13" s="32">
        <f t="shared" si="1"/>
        <v>1000</v>
      </c>
      <c r="M13" s="32">
        <f t="shared" si="2"/>
        <v>5000</v>
      </c>
      <c r="N13" s="35" t="s">
        <v>194</v>
      </c>
      <c r="O13" s="51">
        <v>0.43</v>
      </c>
      <c r="P13" s="17">
        <f t="shared" si="3"/>
        <v>0.43</v>
      </c>
      <c r="Q13" s="51">
        <v>0.32200000000000001</v>
      </c>
      <c r="R13" s="17">
        <f t="shared" si="4"/>
        <v>1.61</v>
      </c>
      <c r="S13" s="51">
        <v>8.0560000000000007E-2</v>
      </c>
      <c r="T13" s="17">
        <f t="shared" si="5"/>
        <v>80.56</v>
      </c>
      <c r="U13" s="56">
        <v>8.0560000000000007E-2</v>
      </c>
      <c r="V13" s="17">
        <f>(U13*4000)+(S13*1000)</f>
        <v>402.8</v>
      </c>
      <c r="W13" s="19"/>
    </row>
    <row r="14" spans="1:40" ht="15.75" thickBot="1" x14ac:dyDescent="0.3">
      <c r="A14" s="23">
        <v>12</v>
      </c>
      <c r="B14" s="24"/>
      <c r="C14" s="9" t="s">
        <v>33</v>
      </c>
      <c r="D14" s="9" t="s">
        <v>34</v>
      </c>
      <c r="E14" s="9" t="s">
        <v>35</v>
      </c>
      <c r="F14" s="9" t="s">
        <v>35</v>
      </c>
      <c r="G14" s="9" t="s">
        <v>162</v>
      </c>
      <c r="H14" s="13"/>
      <c r="I14" s="9" t="s">
        <v>35</v>
      </c>
      <c r="J14" s="7">
        <v>1</v>
      </c>
      <c r="K14" s="32">
        <f t="shared" si="7"/>
        <v>5</v>
      </c>
      <c r="L14" s="32">
        <f t="shared" si="1"/>
        <v>1000</v>
      </c>
      <c r="M14" s="32">
        <f t="shared" si="2"/>
        <v>5000</v>
      </c>
      <c r="N14" s="8" t="s">
        <v>20</v>
      </c>
      <c r="O14" s="51">
        <v>0.8</v>
      </c>
      <c r="P14" s="17">
        <f t="shared" si="3"/>
        <v>0.8</v>
      </c>
      <c r="Q14" s="51">
        <v>0.8</v>
      </c>
      <c r="R14" s="17">
        <f t="shared" si="4"/>
        <v>4</v>
      </c>
      <c r="S14" s="51">
        <v>0.49886000000000003</v>
      </c>
      <c r="T14" s="17">
        <f t="shared" si="5"/>
        <v>498.86</v>
      </c>
      <c r="U14" s="56">
        <v>0.38801000000000002</v>
      </c>
      <c r="V14" s="17">
        <f t="shared" si="6"/>
        <v>1940.0500000000002</v>
      </c>
      <c r="W14" s="18"/>
    </row>
    <row r="15" spans="1:40" ht="15.75" thickBot="1" x14ac:dyDescent="0.3">
      <c r="A15" s="22">
        <v>13</v>
      </c>
      <c r="B15" s="41"/>
      <c r="C15" s="42" t="s">
        <v>84</v>
      </c>
      <c r="D15" s="42" t="s">
        <v>85</v>
      </c>
      <c r="E15" s="42" t="s">
        <v>86</v>
      </c>
      <c r="F15" s="42" t="s">
        <v>86</v>
      </c>
      <c r="G15" s="43"/>
      <c r="H15" s="44"/>
      <c r="I15" s="42" t="s">
        <v>181</v>
      </c>
      <c r="J15" s="43">
        <v>2</v>
      </c>
      <c r="K15" s="45">
        <f t="shared" ref="K15:K37" si="8">J15*5</f>
        <v>10</v>
      </c>
      <c r="L15" s="45">
        <f t="shared" ref="L15:L37" si="9">J15*1000</f>
        <v>2000</v>
      </c>
      <c r="M15" s="45">
        <f t="shared" ref="M15:M37" si="10">J15*5000</f>
        <v>10000</v>
      </c>
      <c r="N15" s="46" t="s">
        <v>20</v>
      </c>
      <c r="O15" s="53"/>
      <c r="P15" s="47">
        <f t="shared" ref="P15:P37" si="11">O15*J15</f>
        <v>0</v>
      </c>
      <c r="Q15" s="53"/>
      <c r="R15" s="47">
        <f t="shared" ref="R15:R37" si="12">Q15*K15</f>
        <v>0</v>
      </c>
      <c r="S15" s="53"/>
      <c r="T15" s="47">
        <f t="shared" ref="T15:T37" si="13">S15*L15</f>
        <v>0</v>
      </c>
      <c r="U15" s="57"/>
      <c r="V15" s="47">
        <f t="shared" ref="V15:V37" si="14">U15*M15</f>
        <v>0</v>
      </c>
      <c r="W15" s="60" t="s">
        <v>202</v>
      </c>
    </row>
    <row r="16" spans="1:40" ht="30.75" thickBot="1" x14ac:dyDescent="0.3">
      <c r="A16" s="23">
        <v>14</v>
      </c>
      <c r="B16" s="24"/>
      <c r="C16" s="9" t="s">
        <v>87</v>
      </c>
      <c r="D16" s="9" t="s">
        <v>88</v>
      </c>
      <c r="E16" s="9" t="s">
        <v>89</v>
      </c>
      <c r="F16" s="9" t="s">
        <v>89</v>
      </c>
      <c r="G16" s="9" t="s">
        <v>163</v>
      </c>
      <c r="H16" s="13"/>
      <c r="I16" s="9" t="s">
        <v>89</v>
      </c>
      <c r="J16" s="7">
        <v>1</v>
      </c>
      <c r="K16" s="32">
        <f t="shared" si="8"/>
        <v>5</v>
      </c>
      <c r="L16" s="32">
        <f t="shared" si="9"/>
        <v>1000</v>
      </c>
      <c r="M16" s="32">
        <f t="shared" si="10"/>
        <v>5000</v>
      </c>
      <c r="N16" s="8" t="s">
        <v>20</v>
      </c>
      <c r="O16" s="51">
        <v>0.17</v>
      </c>
      <c r="P16" s="17">
        <f t="shared" si="11"/>
        <v>0.17</v>
      </c>
      <c r="Q16" s="51">
        <v>0.17</v>
      </c>
      <c r="R16" s="17">
        <f t="shared" si="12"/>
        <v>0.85000000000000009</v>
      </c>
      <c r="S16" s="51">
        <v>6.9989999999999997E-2</v>
      </c>
      <c r="T16" s="17">
        <f t="shared" si="13"/>
        <v>69.989999999999995</v>
      </c>
      <c r="U16" s="56">
        <v>5.9990000000000002E-2</v>
      </c>
      <c r="V16" s="17">
        <f t="shared" si="14"/>
        <v>299.95</v>
      </c>
      <c r="W16" s="18"/>
    </row>
    <row r="17" spans="1:23" ht="15.75" thickBot="1" x14ac:dyDescent="0.3">
      <c r="A17" s="22">
        <v>15</v>
      </c>
      <c r="B17" s="24"/>
      <c r="C17" s="9" t="s">
        <v>90</v>
      </c>
      <c r="D17" s="9" t="s">
        <v>91</v>
      </c>
      <c r="E17" s="9" t="s">
        <v>92</v>
      </c>
      <c r="F17" s="9" t="s">
        <v>92</v>
      </c>
      <c r="G17" s="9" t="s">
        <v>164</v>
      </c>
      <c r="H17" s="13"/>
      <c r="I17" s="9" t="s">
        <v>182</v>
      </c>
      <c r="J17" s="7">
        <v>1</v>
      </c>
      <c r="K17" s="32">
        <f t="shared" si="8"/>
        <v>5</v>
      </c>
      <c r="L17" s="32">
        <f t="shared" si="9"/>
        <v>1000</v>
      </c>
      <c r="M17" s="32">
        <f t="shared" si="10"/>
        <v>5000</v>
      </c>
      <c r="N17" s="35" t="s">
        <v>194</v>
      </c>
      <c r="O17" s="51">
        <v>0.53</v>
      </c>
      <c r="P17" s="17">
        <f t="shared" si="11"/>
        <v>0.53</v>
      </c>
      <c r="Q17" s="51">
        <v>0.53</v>
      </c>
      <c r="R17" s="17">
        <f t="shared" si="12"/>
        <v>2.6500000000000004</v>
      </c>
      <c r="S17" s="51">
        <v>0.27783999999999998</v>
      </c>
      <c r="T17" s="17">
        <f t="shared" si="13"/>
        <v>277.83999999999997</v>
      </c>
      <c r="U17" s="56">
        <v>0.27783999999999998</v>
      </c>
      <c r="V17" s="17">
        <f t="shared" si="14"/>
        <v>1389.1999999999998</v>
      </c>
      <c r="W17" s="18"/>
    </row>
    <row r="18" spans="1:23" ht="15.75" thickBot="1" x14ac:dyDescent="0.3">
      <c r="A18" s="23">
        <v>16</v>
      </c>
      <c r="B18" s="24"/>
      <c r="C18" s="9" t="s">
        <v>93</v>
      </c>
      <c r="D18" s="9" t="s">
        <v>94</v>
      </c>
      <c r="E18" s="9" t="s">
        <v>95</v>
      </c>
      <c r="F18" s="9" t="s">
        <v>95</v>
      </c>
      <c r="G18" s="9" t="s">
        <v>161</v>
      </c>
      <c r="H18" s="13"/>
      <c r="I18" s="9" t="s">
        <v>95</v>
      </c>
      <c r="J18" s="7">
        <v>2</v>
      </c>
      <c r="K18" s="32">
        <f t="shared" si="8"/>
        <v>10</v>
      </c>
      <c r="L18" s="32">
        <f t="shared" si="9"/>
        <v>2000</v>
      </c>
      <c r="M18" s="32">
        <f t="shared" si="10"/>
        <v>10000</v>
      </c>
      <c r="N18" s="8" t="s">
        <v>20</v>
      </c>
      <c r="O18" s="51">
        <v>0.13</v>
      </c>
      <c r="P18" s="17">
        <f t="shared" si="11"/>
        <v>0.26</v>
      </c>
      <c r="Q18" s="51">
        <v>0.10299999999999999</v>
      </c>
      <c r="R18" s="17">
        <f t="shared" si="12"/>
        <v>1.03</v>
      </c>
      <c r="S18" s="51">
        <v>0.10299999999999999</v>
      </c>
      <c r="T18" s="17">
        <f t="shared" si="13"/>
        <v>206</v>
      </c>
      <c r="U18" s="56">
        <v>0.10299999999999999</v>
      </c>
      <c r="V18" s="17">
        <f t="shared" si="14"/>
        <v>1030</v>
      </c>
      <c r="W18" s="18"/>
    </row>
    <row r="19" spans="1:23" ht="30.75" thickBot="1" x14ac:dyDescent="0.3">
      <c r="A19" s="22">
        <v>17</v>
      </c>
      <c r="B19" s="24"/>
      <c r="C19" s="9" t="s">
        <v>96</v>
      </c>
      <c r="D19" s="9" t="s">
        <v>97</v>
      </c>
      <c r="E19" s="9" t="s">
        <v>98</v>
      </c>
      <c r="F19" s="9" t="s">
        <v>98</v>
      </c>
      <c r="G19" s="9" t="s">
        <v>161</v>
      </c>
      <c r="H19" s="13"/>
      <c r="I19" s="9" t="s">
        <v>98</v>
      </c>
      <c r="J19" s="7">
        <v>12</v>
      </c>
      <c r="K19" s="32">
        <f t="shared" si="8"/>
        <v>60</v>
      </c>
      <c r="L19" s="32">
        <f t="shared" si="9"/>
        <v>12000</v>
      </c>
      <c r="M19" s="32">
        <f t="shared" si="10"/>
        <v>60000</v>
      </c>
      <c r="N19" s="8" t="s">
        <v>20</v>
      </c>
      <c r="O19" s="59">
        <v>7.9000000000000001E-2</v>
      </c>
      <c r="P19" s="17">
        <f>(O19*10)+(0.1*2)</f>
        <v>0.99</v>
      </c>
      <c r="Q19" s="51">
        <v>6.4799999999999996E-2</v>
      </c>
      <c r="R19" s="17">
        <f>(Q19*50)+(0.79*10)</f>
        <v>11.14</v>
      </c>
      <c r="S19" s="51">
        <v>2.017E-2</v>
      </c>
      <c r="T19" s="17">
        <f t="shared" si="13"/>
        <v>242.04</v>
      </c>
      <c r="U19" s="56">
        <v>1.873E-2</v>
      </c>
      <c r="V19" s="17">
        <f t="shared" si="14"/>
        <v>1123.8</v>
      </c>
      <c r="W19" s="18"/>
    </row>
    <row r="20" spans="1:23" ht="15.75" thickBot="1" x14ac:dyDescent="0.3">
      <c r="A20" s="23">
        <v>18</v>
      </c>
      <c r="B20" s="24"/>
      <c r="C20" s="9" t="s">
        <v>99</v>
      </c>
      <c r="D20" s="9" t="s">
        <v>100</v>
      </c>
      <c r="E20" s="9" t="s">
        <v>101</v>
      </c>
      <c r="F20" s="9" t="s">
        <v>102</v>
      </c>
      <c r="G20" s="9" t="s">
        <v>156</v>
      </c>
      <c r="H20" s="13"/>
      <c r="I20" s="9" t="s">
        <v>183</v>
      </c>
      <c r="J20" s="7">
        <v>1</v>
      </c>
      <c r="K20" s="32">
        <f t="shared" si="8"/>
        <v>5</v>
      </c>
      <c r="L20" s="32">
        <f t="shared" si="9"/>
        <v>1000</v>
      </c>
      <c r="M20" s="32">
        <f t="shared" si="10"/>
        <v>5000</v>
      </c>
      <c r="N20" s="8" t="s">
        <v>20</v>
      </c>
      <c r="O20" s="51">
        <v>0.4</v>
      </c>
      <c r="P20" s="17">
        <f t="shared" si="11"/>
        <v>0.4</v>
      </c>
      <c r="Q20" s="51">
        <v>0.4</v>
      </c>
      <c r="R20" s="17">
        <f t="shared" si="12"/>
        <v>2</v>
      </c>
      <c r="S20" s="51">
        <v>0.16064999999999999</v>
      </c>
      <c r="T20" s="17">
        <f t="shared" si="13"/>
        <v>160.64999999999998</v>
      </c>
      <c r="U20" s="56">
        <v>0.14280000000000001</v>
      </c>
      <c r="V20" s="17">
        <f t="shared" si="14"/>
        <v>714</v>
      </c>
      <c r="W20" s="18"/>
    </row>
    <row r="21" spans="1:23" ht="15.75" thickBot="1" x14ac:dyDescent="0.3">
      <c r="A21" s="22">
        <v>19</v>
      </c>
      <c r="B21" s="41"/>
      <c r="C21" s="42" t="s">
        <v>36</v>
      </c>
      <c r="D21" s="42" t="s">
        <v>103</v>
      </c>
      <c r="E21" s="42" t="s">
        <v>37</v>
      </c>
      <c r="F21" s="42" t="s">
        <v>37</v>
      </c>
      <c r="G21" s="43"/>
      <c r="H21" s="44"/>
      <c r="I21" s="42" t="s">
        <v>48</v>
      </c>
      <c r="J21" s="43">
        <v>3</v>
      </c>
      <c r="K21" s="45">
        <f t="shared" si="8"/>
        <v>15</v>
      </c>
      <c r="L21" s="45">
        <f t="shared" si="9"/>
        <v>3000</v>
      </c>
      <c r="M21" s="45">
        <f t="shared" si="10"/>
        <v>15000</v>
      </c>
      <c r="N21" s="46" t="s">
        <v>20</v>
      </c>
      <c r="O21" s="53"/>
      <c r="P21" s="47">
        <f t="shared" si="11"/>
        <v>0</v>
      </c>
      <c r="Q21" s="53"/>
      <c r="R21" s="47">
        <f t="shared" si="12"/>
        <v>0</v>
      </c>
      <c r="S21" s="53"/>
      <c r="T21" s="47">
        <f t="shared" si="13"/>
        <v>0</v>
      </c>
      <c r="U21" s="57"/>
      <c r="V21" s="47">
        <f t="shared" si="14"/>
        <v>0</v>
      </c>
      <c r="W21" s="60" t="s">
        <v>203</v>
      </c>
    </row>
    <row r="22" spans="1:23" ht="15.75" thickBot="1" x14ac:dyDescent="0.3">
      <c r="A22" s="23">
        <v>20</v>
      </c>
      <c r="B22" s="24"/>
      <c r="C22" s="9" t="s">
        <v>104</v>
      </c>
      <c r="D22" s="9" t="s">
        <v>38</v>
      </c>
      <c r="E22" s="9" t="s">
        <v>105</v>
      </c>
      <c r="F22" s="9" t="s">
        <v>106</v>
      </c>
      <c r="G22" s="9" t="s">
        <v>165</v>
      </c>
      <c r="H22" s="13"/>
      <c r="I22" s="9" t="s">
        <v>106</v>
      </c>
      <c r="J22" s="7">
        <v>1</v>
      </c>
      <c r="K22" s="32">
        <f t="shared" si="8"/>
        <v>5</v>
      </c>
      <c r="L22" s="32">
        <f t="shared" si="9"/>
        <v>1000</v>
      </c>
      <c r="M22" s="32">
        <f t="shared" si="10"/>
        <v>5000</v>
      </c>
      <c r="N22" s="35" t="s">
        <v>194</v>
      </c>
      <c r="O22" s="51">
        <v>0.12</v>
      </c>
      <c r="P22" s="17">
        <f t="shared" si="11"/>
        <v>0.12</v>
      </c>
      <c r="Q22" s="51">
        <v>0.12</v>
      </c>
      <c r="R22" s="17">
        <f t="shared" si="12"/>
        <v>0.6</v>
      </c>
      <c r="S22" s="51">
        <v>9.5000000000000001E-2</v>
      </c>
      <c r="T22" s="17">
        <f t="shared" si="13"/>
        <v>95</v>
      </c>
      <c r="U22" s="56">
        <v>9.5000000000000001E-2</v>
      </c>
      <c r="V22" s="17">
        <f t="shared" si="14"/>
        <v>475</v>
      </c>
      <c r="W22" s="18"/>
    </row>
    <row r="23" spans="1:23" ht="15.75" thickBot="1" x14ac:dyDescent="0.3">
      <c r="A23" s="22">
        <v>21</v>
      </c>
      <c r="B23" s="24"/>
      <c r="C23" s="9" t="s">
        <v>107</v>
      </c>
      <c r="D23" s="9" t="s">
        <v>108</v>
      </c>
      <c r="E23" s="9" t="s">
        <v>109</v>
      </c>
      <c r="F23" s="9" t="s">
        <v>110</v>
      </c>
      <c r="G23" s="9" t="s">
        <v>51</v>
      </c>
      <c r="H23" s="13"/>
      <c r="I23" s="9" t="s">
        <v>184</v>
      </c>
      <c r="J23" s="7">
        <v>1</v>
      </c>
      <c r="K23" s="32">
        <f t="shared" si="8"/>
        <v>5</v>
      </c>
      <c r="L23" s="32">
        <f t="shared" si="9"/>
        <v>1000</v>
      </c>
      <c r="M23" s="32">
        <f t="shared" si="10"/>
        <v>5000</v>
      </c>
      <c r="N23" s="8" t="s">
        <v>195</v>
      </c>
      <c r="O23" s="51">
        <v>0.10100000000000001</v>
      </c>
      <c r="P23" s="17">
        <f t="shared" si="11"/>
        <v>0.10100000000000001</v>
      </c>
      <c r="Q23" s="51">
        <v>0.10100000000000001</v>
      </c>
      <c r="R23" s="17">
        <f t="shared" si="12"/>
        <v>0.505</v>
      </c>
      <c r="S23" s="51">
        <v>8.0000000000000002E-3</v>
      </c>
      <c r="T23" s="17">
        <f t="shared" si="13"/>
        <v>8</v>
      </c>
      <c r="U23" s="56">
        <v>6.0000000000000001E-3</v>
      </c>
      <c r="V23" s="17">
        <f t="shared" si="14"/>
        <v>30</v>
      </c>
      <c r="W23" s="18"/>
    </row>
    <row r="24" spans="1:23" ht="15.75" thickBot="1" x14ac:dyDescent="0.3">
      <c r="A24" s="23">
        <v>22</v>
      </c>
      <c r="B24" s="24"/>
      <c r="C24" s="9" t="s">
        <v>111</v>
      </c>
      <c r="D24" s="9" t="s">
        <v>112</v>
      </c>
      <c r="E24" s="9" t="s">
        <v>109</v>
      </c>
      <c r="F24" s="9" t="s">
        <v>113</v>
      </c>
      <c r="G24" s="9" t="s">
        <v>51</v>
      </c>
      <c r="H24" s="13"/>
      <c r="I24" s="9" t="s">
        <v>185</v>
      </c>
      <c r="J24" s="7">
        <v>1</v>
      </c>
      <c r="K24" s="32">
        <f t="shared" si="8"/>
        <v>5</v>
      </c>
      <c r="L24" s="32">
        <f t="shared" si="9"/>
        <v>1000</v>
      </c>
      <c r="M24" s="32">
        <f t="shared" si="10"/>
        <v>5000</v>
      </c>
      <c r="N24" s="8" t="s">
        <v>196</v>
      </c>
      <c r="O24" s="51">
        <v>3.9300000000000002E-2</v>
      </c>
      <c r="P24" s="17">
        <f t="shared" si="11"/>
        <v>3.9300000000000002E-2</v>
      </c>
      <c r="Q24" s="51">
        <v>3.9300000000000002E-2</v>
      </c>
      <c r="R24" s="17">
        <f t="shared" si="12"/>
        <v>0.19650000000000001</v>
      </c>
      <c r="S24" s="51">
        <v>7.6E-3</v>
      </c>
      <c r="T24" s="17">
        <f t="shared" si="13"/>
        <v>7.6</v>
      </c>
      <c r="U24" s="56">
        <v>7.6E-3</v>
      </c>
      <c r="V24" s="17">
        <f t="shared" si="14"/>
        <v>38</v>
      </c>
      <c r="W24" s="18"/>
    </row>
    <row r="25" spans="1:23" ht="15.75" thickBot="1" x14ac:dyDescent="0.3">
      <c r="A25" s="22">
        <v>23</v>
      </c>
      <c r="B25" s="24"/>
      <c r="C25" s="9" t="s">
        <v>40</v>
      </c>
      <c r="D25" s="9" t="s">
        <v>114</v>
      </c>
      <c r="E25" s="9" t="s">
        <v>41</v>
      </c>
      <c r="F25" s="9" t="s">
        <v>42</v>
      </c>
      <c r="G25" s="9" t="s">
        <v>166</v>
      </c>
      <c r="H25" s="13"/>
      <c r="I25" s="9" t="s">
        <v>49</v>
      </c>
      <c r="J25" s="7">
        <v>2</v>
      </c>
      <c r="K25" s="32">
        <f t="shared" si="8"/>
        <v>10</v>
      </c>
      <c r="L25" s="32">
        <f t="shared" si="9"/>
        <v>2000</v>
      </c>
      <c r="M25" s="32">
        <f t="shared" si="10"/>
        <v>10000</v>
      </c>
      <c r="N25" s="8" t="s">
        <v>20</v>
      </c>
      <c r="O25" s="51">
        <v>0.1</v>
      </c>
      <c r="P25" s="17">
        <f t="shared" si="11"/>
        <v>0.2</v>
      </c>
      <c r="Q25" s="51">
        <v>0.05</v>
      </c>
      <c r="R25" s="17">
        <f t="shared" si="12"/>
        <v>0.5</v>
      </c>
      <c r="S25" s="51">
        <v>9.1400000000000006E-3</v>
      </c>
      <c r="T25" s="17">
        <f t="shared" si="13"/>
        <v>18.28</v>
      </c>
      <c r="U25" s="56">
        <v>5.6899999999999997E-3</v>
      </c>
      <c r="V25" s="17">
        <f t="shared" si="14"/>
        <v>56.9</v>
      </c>
      <c r="W25" s="18"/>
    </row>
    <row r="26" spans="1:23" ht="15.75" thickBot="1" x14ac:dyDescent="0.3">
      <c r="A26" s="23">
        <v>24</v>
      </c>
      <c r="B26" s="24"/>
      <c r="C26" s="9" t="s">
        <v>43</v>
      </c>
      <c r="D26" s="9" t="s">
        <v>115</v>
      </c>
      <c r="E26" s="9" t="s">
        <v>41</v>
      </c>
      <c r="F26" s="9" t="s">
        <v>44</v>
      </c>
      <c r="G26" s="9" t="s">
        <v>167</v>
      </c>
      <c r="H26" s="48" t="s">
        <v>197</v>
      </c>
      <c r="I26" s="9" t="s">
        <v>50</v>
      </c>
      <c r="J26" s="7">
        <v>2</v>
      </c>
      <c r="K26" s="32">
        <f t="shared" si="8"/>
        <v>10</v>
      </c>
      <c r="L26" s="32">
        <f t="shared" si="9"/>
        <v>2000</v>
      </c>
      <c r="M26" s="32">
        <f t="shared" si="10"/>
        <v>10000</v>
      </c>
      <c r="N26" s="8" t="s">
        <v>20</v>
      </c>
      <c r="O26" s="51">
        <v>0.1</v>
      </c>
      <c r="P26" s="17">
        <f t="shared" si="11"/>
        <v>0.2</v>
      </c>
      <c r="Q26" s="51">
        <v>4.2999999999999997E-2</v>
      </c>
      <c r="R26" s="17">
        <f t="shared" si="12"/>
        <v>0.42999999999999994</v>
      </c>
      <c r="S26" s="51">
        <v>7.77E-3</v>
      </c>
      <c r="T26" s="17">
        <f t="shared" si="13"/>
        <v>15.54</v>
      </c>
      <c r="U26" s="56">
        <v>6.7400000000000003E-3</v>
      </c>
      <c r="V26" s="17">
        <f t="shared" si="14"/>
        <v>67.400000000000006</v>
      </c>
      <c r="W26" s="21" t="s">
        <v>200</v>
      </c>
    </row>
    <row r="27" spans="1:23" ht="30.75" thickBot="1" x14ac:dyDescent="0.3">
      <c r="A27" s="22">
        <v>25</v>
      </c>
      <c r="B27" s="24"/>
      <c r="C27" s="9" t="s">
        <v>116</v>
      </c>
      <c r="D27" s="9" t="s">
        <v>117</v>
      </c>
      <c r="E27" s="9" t="s">
        <v>118</v>
      </c>
      <c r="F27" s="9" t="s">
        <v>119</v>
      </c>
      <c r="G27" s="9" t="s">
        <v>51</v>
      </c>
      <c r="H27" s="13"/>
      <c r="I27" s="9" t="s">
        <v>186</v>
      </c>
      <c r="J27" s="7">
        <v>1</v>
      </c>
      <c r="K27" s="32">
        <f t="shared" si="8"/>
        <v>5</v>
      </c>
      <c r="L27" s="32">
        <f t="shared" si="9"/>
        <v>1000</v>
      </c>
      <c r="M27" s="32">
        <f t="shared" si="10"/>
        <v>5000</v>
      </c>
      <c r="N27" s="8" t="s">
        <v>20</v>
      </c>
      <c r="O27" s="51">
        <v>0.1</v>
      </c>
      <c r="P27" s="17">
        <f t="shared" si="11"/>
        <v>0.1</v>
      </c>
      <c r="Q27" s="51">
        <v>0.1</v>
      </c>
      <c r="R27" s="17">
        <f t="shared" si="12"/>
        <v>0.5</v>
      </c>
      <c r="S27" s="51">
        <v>4.3600000000000002E-3</v>
      </c>
      <c r="T27" s="17">
        <f t="shared" si="13"/>
        <v>4.3600000000000003</v>
      </c>
      <c r="U27" s="56">
        <v>3.7799999999999999E-3</v>
      </c>
      <c r="V27" s="17">
        <f t="shared" si="14"/>
        <v>18.899999999999999</v>
      </c>
      <c r="W27" s="18"/>
    </row>
    <row r="28" spans="1:23" ht="15.75" thickBot="1" x14ac:dyDescent="0.3">
      <c r="A28" s="23">
        <v>26</v>
      </c>
      <c r="B28" s="24"/>
      <c r="C28" s="9" t="s">
        <v>120</v>
      </c>
      <c r="D28" s="9" t="s">
        <v>121</v>
      </c>
      <c r="E28" s="9" t="s">
        <v>118</v>
      </c>
      <c r="F28" s="9" t="s">
        <v>122</v>
      </c>
      <c r="G28" s="9" t="s">
        <v>51</v>
      </c>
      <c r="I28" s="9" t="s">
        <v>187</v>
      </c>
      <c r="J28" s="7">
        <v>2</v>
      </c>
      <c r="K28" s="32">
        <f t="shared" si="8"/>
        <v>10</v>
      </c>
      <c r="L28" s="32">
        <f t="shared" si="9"/>
        <v>2000</v>
      </c>
      <c r="M28" s="32">
        <f t="shared" si="10"/>
        <v>10000</v>
      </c>
      <c r="N28" s="8" t="s">
        <v>20</v>
      </c>
      <c r="O28" s="51">
        <v>0.1</v>
      </c>
      <c r="P28" s="17">
        <f t="shared" si="11"/>
        <v>0.2</v>
      </c>
      <c r="Q28" s="51">
        <v>0.04</v>
      </c>
      <c r="R28" s="17">
        <f t="shared" si="12"/>
        <v>0.4</v>
      </c>
      <c r="S28" s="51">
        <v>7.28E-3</v>
      </c>
      <c r="T28" s="17">
        <f t="shared" si="13"/>
        <v>14.56</v>
      </c>
      <c r="U28" s="56">
        <v>5.2199999999999998E-3</v>
      </c>
      <c r="V28" s="17">
        <f t="shared" si="14"/>
        <v>52.199999999999996</v>
      </c>
      <c r="W28" s="18"/>
    </row>
    <row r="29" spans="1:23" ht="15.75" thickBot="1" x14ac:dyDescent="0.3">
      <c r="A29" s="22">
        <v>27</v>
      </c>
      <c r="B29" s="24"/>
      <c r="C29" s="9" t="s">
        <v>123</v>
      </c>
      <c r="D29" s="9" t="s">
        <v>124</v>
      </c>
      <c r="E29" s="9" t="s">
        <v>118</v>
      </c>
      <c r="F29" s="9" t="s">
        <v>125</v>
      </c>
      <c r="G29" s="9" t="s">
        <v>51</v>
      </c>
      <c r="H29" s="13"/>
      <c r="I29" s="9" t="s">
        <v>188</v>
      </c>
      <c r="J29" s="7">
        <v>2</v>
      </c>
      <c r="K29" s="32">
        <f t="shared" si="8"/>
        <v>10</v>
      </c>
      <c r="L29" s="32">
        <f t="shared" si="9"/>
        <v>2000</v>
      </c>
      <c r="M29" s="32">
        <f t="shared" si="10"/>
        <v>10000</v>
      </c>
      <c r="N29" s="8" t="s">
        <v>20</v>
      </c>
      <c r="O29" s="51">
        <v>0.1</v>
      </c>
      <c r="P29" s="17">
        <f t="shared" si="11"/>
        <v>0.2</v>
      </c>
      <c r="Q29" s="51">
        <v>0.02</v>
      </c>
      <c r="R29" s="17">
        <f t="shared" si="12"/>
        <v>0.2</v>
      </c>
      <c r="S29" s="51">
        <v>3.5999999999999999E-3</v>
      </c>
      <c r="T29" s="17">
        <f t="shared" si="13"/>
        <v>7.2</v>
      </c>
      <c r="U29" s="56">
        <v>2.5799999999999998E-3</v>
      </c>
      <c r="V29" s="17">
        <f t="shared" si="14"/>
        <v>25.799999999999997</v>
      </c>
      <c r="W29" s="18"/>
    </row>
    <row r="30" spans="1:23" ht="15.75" thickBot="1" x14ac:dyDescent="0.3">
      <c r="A30" s="23">
        <v>28</v>
      </c>
      <c r="B30" s="24"/>
      <c r="C30" s="9" t="s">
        <v>126</v>
      </c>
      <c r="D30" s="9" t="s">
        <v>127</v>
      </c>
      <c r="E30" s="9" t="s">
        <v>41</v>
      </c>
      <c r="F30" s="9" t="s">
        <v>128</v>
      </c>
      <c r="G30" s="9" t="s">
        <v>51</v>
      </c>
      <c r="H30" s="13"/>
      <c r="I30" s="9" t="s">
        <v>189</v>
      </c>
      <c r="J30" s="7">
        <v>1</v>
      </c>
      <c r="K30" s="32">
        <f t="shared" si="8"/>
        <v>5</v>
      </c>
      <c r="L30" s="32">
        <f t="shared" si="9"/>
        <v>1000</v>
      </c>
      <c r="M30" s="32">
        <f t="shared" si="10"/>
        <v>5000</v>
      </c>
      <c r="N30" s="8" t="s">
        <v>20</v>
      </c>
      <c r="O30" s="51">
        <v>0.10100000000000001</v>
      </c>
      <c r="P30" s="17">
        <f t="shared" si="11"/>
        <v>0.10100000000000001</v>
      </c>
      <c r="Q30" s="51">
        <v>0.10100000000000001</v>
      </c>
      <c r="R30" s="17">
        <f t="shared" si="12"/>
        <v>0.505</v>
      </c>
      <c r="S30" s="51">
        <v>7.0000000000000001E-3</v>
      </c>
      <c r="T30" s="17">
        <f t="shared" si="13"/>
        <v>7</v>
      </c>
      <c r="U30" s="56">
        <v>5.0000000000000001E-3</v>
      </c>
      <c r="V30" s="17">
        <f t="shared" si="14"/>
        <v>25</v>
      </c>
      <c r="W30" s="18"/>
    </row>
    <row r="31" spans="1:23" ht="15.75" thickBot="1" x14ac:dyDescent="0.3">
      <c r="A31" s="22">
        <v>29</v>
      </c>
      <c r="B31" s="24"/>
      <c r="C31" s="9" t="s">
        <v>129</v>
      </c>
      <c r="D31" s="9" t="s">
        <v>130</v>
      </c>
      <c r="E31" s="9" t="s">
        <v>45</v>
      </c>
      <c r="F31" s="9" t="s">
        <v>131</v>
      </c>
      <c r="G31" s="9" t="s">
        <v>168</v>
      </c>
      <c r="H31" s="13"/>
      <c r="I31" s="9" t="s">
        <v>131</v>
      </c>
      <c r="J31" s="7">
        <v>1</v>
      </c>
      <c r="K31" s="32">
        <f t="shared" si="8"/>
        <v>5</v>
      </c>
      <c r="L31" s="32">
        <f t="shared" si="9"/>
        <v>1000</v>
      </c>
      <c r="M31" s="32">
        <f t="shared" si="10"/>
        <v>5000</v>
      </c>
      <c r="N31" s="35" t="s">
        <v>198</v>
      </c>
      <c r="O31" s="51">
        <v>0.51</v>
      </c>
      <c r="P31" s="17">
        <f t="shared" si="11"/>
        <v>0.51</v>
      </c>
      <c r="Q31" s="51">
        <v>0.51</v>
      </c>
      <c r="R31" s="17">
        <f t="shared" si="12"/>
        <v>2.5499999999999998</v>
      </c>
      <c r="S31" s="51">
        <v>0.45</v>
      </c>
      <c r="T31" s="17">
        <f t="shared" si="13"/>
        <v>450</v>
      </c>
      <c r="U31" s="56">
        <v>0.45</v>
      </c>
      <c r="V31" s="17">
        <f t="shared" si="14"/>
        <v>2250</v>
      </c>
      <c r="W31" s="18"/>
    </row>
    <row r="32" spans="1:23" ht="15.75" thickBot="1" x14ac:dyDescent="0.3">
      <c r="A32" s="23">
        <v>30</v>
      </c>
      <c r="B32" s="24"/>
      <c r="C32" s="9" t="s">
        <v>132</v>
      </c>
      <c r="D32" s="9" t="s">
        <v>133</v>
      </c>
      <c r="E32" s="9" t="s">
        <v>39</v>
      </c>
      <c r="F32" s="9" t="s">
        <v>134</v>
      </c>
      <c r="G32" s="9" t="s">
        <v>169</v>
      </c>
      <c r="H32" s="13"/>
      <c r="I32" s="9" t="s">
        <v>134</v>
      </c>
      <c r="J32" s="7">
        <v>1</v>
      </c>
      <c r="K32" s="32">
        <f t="shared" si="8"/>
        <v>5</v>
      </c>
      <c r="L32" s="32">
        <f t="shared" si="9"/>
        <v>1000</v>
      </c>
      <c r="M32" s="32">
        <f t="shared" si="10"/>
        <v>5000</v>
      </c>
      <c r="N32" s="35" t="s">
        <v>194</v>
      </c>
      <c r="O32" s="51">
        <v>1.5</v>
      </c>
      <c r="P32" s="17">
        <f t="shared" si="11"/>
        <v>1.5</v>
      </c>
      <c r="Q32" s="51">
        <v>1.5</v>
      </c>
      <c r="R32" s="17">
        <f t="shared" si="12"/>
        <v>7.5</v>
      </c>
      <c r="S32" s="51">
        <v>0.6</v>
      </c>
      <c r="T32" s="17">
        <f t="shared" si="13"/>
        <v>600</v>
      </c>
      <c r="U32" s="56">
        <v>0.52500000000000002</v>
      </c>
      <c r="V32" s="17">
        <f t="shared" si="14"/>
        <v>2625</v>
      </c>
      <c r="W32" s="18"/>
    </row>
    <row r="33" spans="1:23" ht="30.75" thickBot="1" x14ac:dyDescent="0.3">
      <c r="A33" s="22">
        <v>31</v>
      </c>
      <c r="B33" s="24"/>
      <c r="C33" s="9" t="s">
        <v>135</v>
      </c>
      <c r="D33" s="9" t="s">
        <v>136</v>
      </c>
      <c r="E33" s="9" t="s">
        <v>137</v>
      </c>
      <c r="F33" s="9" t="s">
        <v>138</v>
      </c>
      <c r="G33" s="9" t="s">
        <v>170</v>
      </c>
      <c r="H33" s="13"/>
      <c r="I33" s="9" t="s">
        <v>138</v>
      </c>
      <c r="J33" s="7">
        <v>1</v>
      </c>
      <c r="K33" s="32">
        <f t="shared" si="8"/>
        <v>5</v>
      </c>
      <c r="L33" s="32">
        <f t="shared" si="9"/>
        <v>1000</v>
      </c>
      <c r="M33" s="32">
        <f t="shared" si="10"/>
        <v>5000</v>
      </c>
      <c r="N33" s="35" t="s">
        <v>194</v>
      </c>
      <c r="O33" s="51">
        <v>1.28</v>
      </c>
      <c r="P33" s="17">
        <f t="shared" si="11"/>
        <v>1.28</v>
      </c>
      <c r="Q33" s="51">
        <v>1.28</v>
      </c>
      <c r="R33" s="17">
        <f t="shared" si="12"/>
        <v>6.4</v>
      </c>
      <c r="S33" s="51">
        <v>0.64224999999999999</v>
      </c>
      <c r="T33" s="17">
        <f t="shared" si="13"/>
        <v>642.25</v>
      </c>
      <c r="U33" s="56">
        <v>0.64224999999999999</v>
      </c>
      <c r="V33" s="17">
        <f t="shared" si="14"/>
        <v>3211.25</v>
      </c>
      <c r="W33" s="18"/>
    </row>
    <row r="34" spans="1:23" ht="15.75" thickBot="1" x14ac:dyDescent="0.3">
      <c r="A34" s="23">
        <v>32</v>
      </c>
      <c r="B34" s="24"/>
      <c r="C34" s="9" t="s">
        <v>139</v>
      </c>
      <c r="D34" s="9" t="s">
        <v>140</v>
      </c>
      <c r="E34" s="9" t="s">
        <v>141</v>
      </c>
      <c r="F34" s="9" t="s">
        <v>142</v>
      </c>
      <c r="G34" s="9" t="s">
        <v>171</v>
      </c>
      <c r="H34" s="13"/>
      <c r="I34" s="9" t="s">
        <v>142</v>
      </c>
      <c r="J34" s="7">
        <v>1</v>
      </c>
      <c r="K34" s="32">
        <f t="shared" si="8"/>
        <v>5</v>
      </c>
      <c r="L34" s="32">
        <f t="shared" si="9"/>
        <v>1000</v>
      </c>
      <c r="M34" s="32">
        <f t="shared" si="10"/>
        <v>5000</v>
      </c>
      <c r="N34" s="35" t="s">
        <v>20</v>
      </c>
      <c r="O34" s="51"/>
      <c r="P34" s="17">
        <f t="shared" si="11"/>
        <v>0</v>
      </c>
      <c r="Q34" s="51"/>
      <c r="R34" s="17">
        <f t="shared" si="12"/>
        <v>0</v>
      </c>
      <c r="S34" s="51"/>
      <c r="T34" s="17">
        <f t="shared" si="13"/>
        <v>0</v>
      </c>
      <c r="U34" s="56"/>
      <c r="V34" s="17">
        <f t="shared" si="14"/>
        <v>0</v>
      </c>
      <c r="W34" s="18"/>
    </row>
    <row r="35" spans="1:23" ht="30.75" thickBot="1" x14ac:dyDescent="0.3">
      <c r="A35" s="22">
        <v>33</v>
      </c>
      <c r="B35" s="24"/>
      <c r="C35" s="9" t="s">
        <v>143</v>
      </c>
      <c r="D35" s="9" t="s">
        <v>144</v>
      </c>
      <c r="E35" s="9" t="s">
        <v>145</v>
      </c>
      <c r="F35" s="9" t="s">
        <v>146</v>
      </c>
      <c r="G35" s="9" t="s">
        <v>2</v>
      </c>
      <c r="H35" s="13"/>
      <c r="I35" s="9" t="s">
        <v>146</v>
      </c>
      <c r="J35" s="7">
        <v>1</v>
      </c>
      <c r="K35" s="32">
        <f t="shared" si="8"/>
        <v>5</v>
      </c>
      <c r="L35" s="32">
        <f t="shared" si="9"/>
        <v>1000</v>
      </c>
      <c r="M35" s="32">
        <f t="shared" si="10"/>
        <v>5000</v>
      </c>
      <c r="N35" s="8" t="s">
        <v>198</v>
      </c>
      <c r="O35" s="51">
        <v>1</v>
      </c>
      <c r="P35" s="17">
        <f t="shared" si="11"/>
        <v>1</v>
      </c>
      <c r="Q35" s="51">
        <v>1</v>
      </c>
      <c r="R35" s="17">
        <f t="shared" si="12"/>
        <v>5</v>
      </c>
      <c r="S35" s="51">
        <v>1</v>
      </c>
      <c r="T35" s="17">
        <f t="shared" si="13"/>
        <v>1000</v>
      </c>
      <c r="U35" s="56">
        <v>1</v>
      </c>
      <c r="V35" s="17">
        <f t="shared" si="14"/>
        <v>5000</v>
      </c>
      <c r="W35" s="18"/>
    </row>
    <row r="36" spans="1:23" ht="15.75" thickBot="1" x14ac:dyDescent="0.3">
      <c r="A36" s="23">
        <v>34</v>
      </c>
      <c r="B36" s="24"/>
      <c r="C36" s="9" t="s">
        <v>147</v>
      </c>
      <c r="D36" s="9" t="s">
        <v>148</v>
      </c>
      <c r="E36" s="9" t="s">
        <v>149</v>
      </c>
      <c r="F36" s="9" t="s">
        <v>149</v>
      </c>
      <c r="G36" s="9" t="s">
        <v>172</v>
      </c>
      <c r="H36" s="13"/>
      <c r="I36" s="9" t="s">
        <v>149</v>
      </c>
      <c r="J36" s="7">
        <v>1</v>
      </c>
      <c r="K36" s="32">
        <f t="shared" si="8"/>
        <v>5</v>
      </c>
      <c r="L36" s="32">
        <f t="shared" si="9"/>
        <v>1000</v>
      </c>
      <c r="M36" s="32">
        <f t="shared" si="10"/>
        <v>5000</v>
      </c>
      <c r="N36" s="8" t="s">
        <v>20</v>
      </c>
      <c r="O36" s="51">
        <v>0.73</v>
      </c>
      <c r="P36" s="17">
        <f t="shared" si="11"/>
        <v>0.73</v>
      </c>
      <c r="Q36" s="51">
        <v>0.73</v>
      </c>
      <c r="R36" s="17">
        <f t="shared" si="12"/>
        <v>3.65</v>
      </c>
      <c r="S36" s="51">
        <v>0.38850000000000001</v>
      </c>
      <c r="T36" s="17">
        <f t="shared" si="13"/>
        <v>388.5</v>
      </c>
      <c r="U36" s="56">
        <v>0.38850000000000001</v>
      </c>
      <c r="V36" s="17">
        <f t="shared" si="14"/>
        <v>1942.5</v>
      </c>
      <c r="W36" s="18"/>
    </row>
    <row r="37" spans="1:23" ht="30.75" thickBot="1" x14ac:dyDescent="0.3">
      <c r="A37" s="22">
        <v>35</v>
      </c>
      <c r="B37" s="25"/>
      <c r="C37" s="9" t="s">
        <v>150</v>
      </c>
      <c r="D37" s="9" t="s">
        <v>151</v>
      </c>
      <c r="E37" s="9" t="s">
        <v>152</v>
      </c>
      <c r="F37" s="9" t="s">
        <v>152</v>
      </c>
      <c r="G37" s="9" t="s">
        <v>173</v>
      </c>
      <c r="H37" s="49" t="s">
        <v>199</v>
      </c>
      <c r="I37" s="9" t="s">
        <v>190</v>
      </c>
      <c r="J37" s="7">
        <v>1</v>
      </c>
      <c r="K37" s="34">
        <f t="shared" si="8"/>
        <v>5</v>
      </c>
      <c r="L37" s="34">
        <f t="shared" si="9"/>
        <v>1000</v>
      </c>
      <c r="M37" s="34">
        <f t="shared" si="10"/>
        <v>5000</v>
      </c>
      <c r="N37" s="8" t="s">
        <v>20</v>
      </c>
      <c r="O37" s="54">
        <v>1.33</v>
      </c>
      <c r="P37" s="20">
        <f t="shared" si="11"/>
        <v>1.33</v>
      </c>
      <c r="Q37" s="54">
        <v>1.33</v>
      </c>
      <c r="R37" s="20">
        <f t="shared" si="12"/>
        <v>6.65</v>
      </c>
      <c r="S37" s="54">
        <v>1.0325</v>
      </c>
      <c r="T37" s="20">
        <f t="shared" si="13"/>
        <v>1032.5</v>
      </c>
      <c r="U37" s="58">
        <v>1.0325</v>
      </c>
      <c r="V37" s="20">
        <f t="shared" si="14"/>
        <v>5162.5</v>
      </c>
      <c r="W37" s="21" t="s">
        <v>200</v>
      </c>
    </row>
    <row r="38" spans="1:23" ht="19.5" thickBot="1" x14ac:dyDescent="0.35">
      <c r="A38" s="10"/>
      <c r="J38" s="39" t="s">
        <v>17</v>
      </c>
      <c r="K38" s="39"/>
      <c r="L38" s="39"/>
      <c r="M38" s="39"/>
      <c r="N38" s="39"/>
      <c r="O38" s="39"/>
      <c r="R38" s="3">
        <f>SUM(R3:R14)</f>
        <v>42.814999999999998</v>
      </c>
      <c r="S38" s="3"/>
      <c r="T38" s="3">
        <f>SUM(T3:T14)</f>
        <v>4118.9000000000005</v>
      </c>
      <c r="V38" s="6">
        <f>SUM(V3:V14)</f>
        <v>19429.399999999998</v>
      </c>
    </row>
    <row r="39" spans="1:23" ht="18.75" x14ac:dyDescent="0.3">
      <c r="J39" s="40" t="s">
        <v>18</v>
      </c>
      <c r="K39" s="40"/>
      <c r="L39" s="40"/>
      <c r="M39" s="40"/>
      <c r="N39" s="40"/>
      <c r="O39" s="40"/>
      <c r="P39" s="2">
        <f>SUM(P3:P14)</f>
        <v>10.42</v>
      </c>
      <c r="R39" s="4">
        <f>R38/5</f>
        <v>8.5629999999999988</v>
      </c>
      <c r="S39" s="4"/>
      <c r="T39" s="4">
        <f>T38/1000</f>
        <v>4.1189000000000009</v>
      </c>
      <c r="V39" s="6">
        <f>V38/5000</f>
        <v>3.8858799999999998</v>
      </c>
    </row>
  </sheetData>
  <mergeCells count="4">
    <mergeCell ref="V1:AN1"/>
    <mergeCell ref="J38:O38"/>
    <mergeCell ref="J39:O39"/>
    <mergeCell ref="A1:U1"/>
  </mergeCells>
  <phoneticPr fontId="7" type="noConversion"/>
  <conditionalFormatting sqref="P39:T39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{70EE1023-228D-423C-ADF5-29102BB53C0F}</x14:id>
        </ext>
      </extLst>
    </cfRule>
  </conditionalFormatting>
  <conditionalFormatting sqref="J3:M37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3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{31993F18-4C5F-4176-9D23-BFACE9C28768}</x14:id>
        </ext>
      </extLst>
    </cfRule>
  </conditionalFormatting>
  <conditionalFormatting sqref="S3:T7 T8 S9:T37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{BC439CAB-0450-4930-B07F-0CD52FB2A12C}</x14:id>
        </ext>
      </extLst>
    </cfRule>
  </conditionalFormatting>
  <conditionalFormatting sqref="R3:R3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{EA6B6037-A035-49C7-B24F-FF6A26E8D0C5}</x14:id>
        </ext>
      </extLst>
    </cfRule>
  </conditionalFormatting>
  <conditionalFormatting sqref="V3:V3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{F1FD5986-FD79-481F-A5BF-69173A0ECE3D}</x14:id>
        </ext>
      </extLst>
    </cfRule>
  </conditionalFormatting>
  <hyperlinks>
    <hyperlink ref="N3" r:id="rId1" xr:uid="{B2E94C65-AB1C-406F-85FB-A58B302381F6}"/>
    <hyperlink ref="N4" r:id="rId2" xr:uid="{D39D6569-9C63-42B7-A0F2-FFF0DED77774}"/>
    <hyperlink ref="N5" r:id="rId3" xr:uid="{0EB5632D-1A97-4845-9DC1-AA4086079785}"/>
    <hyperlink ref="N7" r:id="rId4" xr:uid="{5D6C6EF9-6278-42BA-9AF1-446D2A2028EF}"/>
    <hyperlink ref="N8" r:id="rId5" xr:uid="{10BBB7A9-1AEC-4358-A926-64C8DF474FE3}"/>
    <hyperlink ref="N9" r:id="rId6" xr:uid="{CD5B6074-F7AA-46F9-A723-880AC599CFF4}"/>
    <hyperlink ref="N11" r:id="rId7" xr:uid="{455564A0-CC7C-471A-95B7-689326AE36C6}"/>
    <hyperlink ref="N12" r:id="rId8" xr:uid="{A8036FA3-C5C6-408E-A171-FBA362FDCB47}"/>
    <hyperlink ref="N14" r:id="rId9" xr:uid="{967E956A-B398-4DAE-84CF-0CC7127CC0AD}"/>
    <hyperlink ref="N16" r:id="rId10" xr:uid="{24DB179F-39BF-4E95-9BF8-0850C9CF2FDF}"/>
    <hyperlink ref="N18" r:id="rId11" xr:uid="{3B96A7E6-8ED8-47AA-965A-E8382D5B6EAA}"/>
    <hyperlink ref="N19" r:id="rId12" xr:uid="{E57183DD-215A-40D9-9D41-2586EC630CCE}"/>
    <hyperlink ref="N20" r:id="rId13" xr:uid="{3CE417A0-DD95-4788-A061-D6B543637DD8}"/>
    <hyperlink ref="N23" r:id="rId14" xr:uid="{53D0FC91-CE94-470A-8731-898F26A533E1}"/>
    <hyperlink ref="N24" r:id="rId15" xr:uid="{81C1569F-6029-455F-A126-C54D7EF6B940}"/>
    <hyperlink ref="N25" r:id="rId16" xr:uid="{F98471F0-0325-4D45-BF6B-DEB578071BC3}"/>
    <hyperlink ref="N26" r:id="rId17" xr:uid="{94FB7CEC-9247-464A-AC15-1BB03809C5B3}"/>
    <hyperlink ref="N27" r:id="rId18" xr:uid="{5059A23F-E250-42C1-B459-1C48358578DD}"/>
    <hyperlink ref="N28" r:id="rId19" xr:uid="{E2701D35-9034-4E7C-8815-D36B073348B9}"/>
    <hyperlink ref="N29" r:id="rId20" xr:uid="{0EA8AF4E-9FD6-47C7-B092-2A8F3168E91B}"/>
    <hyperlink ref="N30" r:id="rId21" xr:uid="{FE0B7C78-ECE2-4B7A-91FC-8B1DAD044D78}"/>
    <hyperlink ref="N36" r:id="rId22" xr:uid="{B08928EF-00CC-4933-A035-2465B8031006}"/>
    <hyperlink ref="N37" r:id="rId23" xr:uid="{21B29991-AB02-40E9-AFD6-E4BBBDA8850B}"/>
  </hyperlinks>
  <printOptions horizontalCentered="1" verticalCentered="1"/>
  <pageMargins left="0.30555555555555558" right="0.30555555555555558" top="0.30555555555555558" bottom="0.30555555555555558" header="0" footer="0"/>
  <pageSetup scale="39" orientation="landscape" blackAndWhite="1" r:id="rId2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EE1023-228D-423C-ADF5-29102BB53C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P39:T39</xm:sqref>
        </x14:conditionalFormatting>
        <x14:conditionalFormatting xmlns:xm="http://schemas.microsoft.com/office/excel/2006/main">
          <x14:cfRule type="dataBar" id="{31993F18-4C5F-4176-9D23-BFACE9C287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P3:P37</xm:sqref>
        </x14:conditionalFormatting>
        <x14:conditionalFormatting xmlns:xm="http://schemas.microsoft.com/office/excel/2006/main">
          <x14:cfRule type="dataBar" id="{BC439CAB-0450-4930-B07F-0CD52FB2A1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S3:T7 T8 S9:T37</xm:sqref>
        </x14:conditionalFormatting>
        <x14:conditionalFormatting xmlns:xm="http://schemas.microsoft.com/office/excel/2006/main">
          <x14:cfRule type="dataBar" id="{EA6B6037-A035-49C7-B24F-FF6A26E8D0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R3:R37</xm:sqref>
        </x14:conditionalFormatting>
        <x14:conditionalFormatting xmlns:xm="http://schemas.microsoft.com/office/excel/2006/main">
          <x14:cfRule type="dataBar" id="{F1FD5986-FD79-481F-A5BF-69173A0ECE3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V3:V37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SM_Bottom_Board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2021-07-08T08:22:22Z</dcterms:created>
  <dcterms:modified xsi:type="dcterms:W3CDTF">2021-07-20T08:48:05Z</dcterms:modified>
</cp:coreProperties>
</file>