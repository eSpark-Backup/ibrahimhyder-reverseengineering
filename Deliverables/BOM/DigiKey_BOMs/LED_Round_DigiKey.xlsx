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IbrahimHyder-ReverseEngineering\Deliverables\BOM\DigiKey_BOMs\"/>
    </mc:Choice>
  </mc:AlternateContent>
  <bookViews>
    <workbookView xWindow="-120" yWindow="-120" windowWidth="20730" windowHeight="11160"/>
  </bookViews>
  <sheets>
    <sheet name="LED_Round_Board" sheetId="1" r:id="rId1"/>
  </sheets>
  <definedNames>
    <definedName name="_xlnm.Print_Titles" localSheetId="0">LED_Round_Board!#REF!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L5" i="1"/>
  <c r="K5" i="1"/>
  <c r="P4" i="1" l="1"/>
  <c r="P3" i="1"/>
  <c r="M4" i="1"/>
  <c r="V4" i="1" s="1"/>
  <c r="L4" i="1"/>
  <c r="T4" i="1" s="1"/>
  <c r="M3" i="1"/>
  <c r="V3" i="1" s="1"/>
  <c r="L3" i="1"/>
  <c r="T3" i="1" s="1"/>
  <c r="T6" i="1" l="1"/>
  <c r="V6" i="1"/>
  <c r="A4" i="1"/>
  <c r="A5" i="1" s="1"/>
  <c r="K4" i="1"/>
  <c r="R4" i="1" s="1"/>
  <c r="K3" i="1"/>
  <c r="R3" i="1" l="1"/>
  <c r="R6" i="1" s="1"/>
  <c r="R7" i="1" s="1"/>
  <c r="P7" i="1"/>
</calcChain>
</file>

<file path=xl/sharedStrings.xml><?xml version="1.0" encoding="utf-8"?>
<sst xmlns="http://schemas.openxmlformats.org/spreadsheetml/2006/main" count="62" uniqueCount="47">
  <si>
    <t>Description</t>
  </si>
  <si>
    <t>Designator</t>
  </si>
  <si>
    <t>Manufacturer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</si>
  <si>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</si>
  <si>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</si>
  <si>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</si>
  <si>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</si>
  <si>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</si>
  <si>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</si>
  <si>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</si>
  <si>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</si>
  <si>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</si>
  <si>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</si>
  <si>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</si>
  <si>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</si>
  <si>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 xml:space="preserve">Total Component Cost </t>
  </si>
  <si>
    <t>Single Board Cost</t>
  </si>
  <si>
    <t>Manufacturer Part No:</t>
  </si>
  <si>
    <t>-------------</t>
  </si>
  <si>
    <t>Unit Cost(1000)</t>
  </si>
  <si>
    <t>Total Cost(1000)</t>
  </si>
  <si>
    <t>Unit Cost(5000)</t>
  </si>
  <si>
    <t>Total Cost(5000)</t>
  </si>
  <si>
    <t>Quantity 1000</t>
  </si>
  <si>
    <t>Quantity 5000</t>
  </si>
  <si>
    <t xml:space="preserve">SPMWH1228FD5WARUVG
</t>
  </si>
  <si>
    <t>Custom</t>
  </si>
  <si>
    <t xml:space="preserve">LED Lighting series White, Cool 5000K 3-Step MacAdam Ellipse 2.95V 
</t>
  </si>
  <si>
    <t>J2, J4</t>
  </si>
  <si>
    <t>SMD PAD</t>
  </si>
  <si>
    <t>Wire Connecting Pad</t>
  </si>
  <si>
    <t xml:space="preserve">DO NOT MOUNT </t>
  </si>
  <si>
    <t>LED1, LED2, LED3, LED4, LED5, LED6, LED7, LED8</t>
  </si>
  <si>
    <t xml:space="preserve">Samsung Semiconductor, Inc.
</t>
  </si>
  <si>
    <t>Digikey</t>
  </si>
  <si>
    <t>LED</t>
  </si>
  <si>
    <t xml:space="preserve">RES 5.1 OHM 1% 1/4W 1206
</t>
  </si>
  <si>
    <t>Resistor</t>
  </si>
  <si>
    <t>R1, R2, R3, R4</t>
  </si>
  <si>
    <t>RMCF1206FT5R10</t>
  </si>
  <si>
    <t>Res 1206</t>
  </si>
  <si>
    <t xml:space="preserve">
Stackpole Electronics Inc</t>
  </si>
  <si>
    <t>5.1R</t>
  </si>
  <si>
    <t>Link</t>
  </si>
  <si>
    <t>------</t>
  </si>
  <si>
    <t>Connector</t>
  </si>
  <si>
    <t>Bill of Material (BOM) for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</si>
</sst>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4" fontId="0" fillId="0" borderId="0" xfId="0" applyNumberFormat="1"/>
    <xf numFmtId="0" fontId="5" fillId="3" borderId="3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5" xfId="0" quotePrefix="1" applyFont="1" applyBorder="1" applyAlignment="1">
      <alignment vertical="center" wrapText="1"/>
    </xf>
    <xf numFmtId="0" fontId="6" fillId="0" borderId="6" xfId="0" quotePrefix="1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center" wrapText="1"/>
    </xf>
    <xf numFmtId="0" fontId="9" fillId="0" borderId="6" xfId="0" quotePrefix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44" fontId="6" fillId="0" borderId="6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6" fillId="0" borderId="9" xfId="0" quotePrefix="1" applyFont="1" applyBorder="1" applyAlignment="1">
      <alignment vertical="center"/>
    </xf>
    <xf numFmtId="0" fontId="6" fillId="0" borderId="10" xfId="0" quotePrefix="1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/>
    </xf>
    <xf numFmtId="0" fontId="9" fillId="0" borderId="10" xfId="0" quotePrefix="1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44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/>
    <xf numFmtId="44" fontId="6" fillId="0" borderId="10" xfId="0" applyNumberFormat="1" applyFont="1" applyBorder="1" applyAlignment="1"/>
    <xf numFmtId="0" fontId="0" fillId="0" borderId="10" xfId="0" applyFont="1" applyBorder="1" applyAlignment="1"/>
    <xf numFmtId="0" fontId="1" fillId="2" borderId="1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stackpole-electronics-inc/RMCF1206FT5R10/1759508" TargetMode="External"/><Relationship Id="rId1" Type="http://schemas.openxmlformats.org/officeDocument/2006/relationships/hyperlink" Target="https://www.digikey.com/en/products/detail/samsung-semiconductor-inc/SPMWH1228FD5WARUVG/12083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7"/>
  <sheetViews>
    <sheetView tabSelected="1" zoomScale="78" zoomScaleNormal="78" workbookViewId="0">
      <selection activeCell="C17" sqref="C17"/>
    </sheetView>
  </sheetViews>
  <sheetFormatPr defaultRowHeight="15" x14ac:dyDescent="0.25"/>
  <cols>
    <col min="1" max="1" width="6.140625" bestFit="1" customWidth="1"/>
    <col min="2" max="2" width="16.5703125" customWidth="1"/>
    <col min="3" max="3" width="54.140625" customWidth="1"/>
    <col min="4" max="4" width="20" customWidth="1"/>
    <col min="5" max="5" width="20.140625" bestFit="1" customWidth="1"/>
    <col min="6" max="6" width="28" customWidth="1"/>
    <col min="7" max="7" width="23.7109375" bestFit="1" customWidth="1"/>
    <col min="8" max="9" width="10.285156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7.28515625" bestFit="1" customWidth="1"/>
    <col min="15" max="15" width="13.140625" bestFit="1" customWidth="1"/>
    <col min="16" max="16" width="12.140625" bestFit="1" customWidth="1"/>
    <col min="17" max="17" width="18.7109375" bestFit="1" customWidth="1"/>
    <col min="18" max="18" width="12.5703125" bestFit="1" customWidth="1"/>
    <col min="19" max="19" width="14.7109375" bestFit="1" customWidth="1"/>
    <col min="20" max="20" width="15.28515625" bestFit="1" customWidth="1"/>
    <col min="21" max="21" width="14.7109375" bestFit="1" customWidth="1"/>
    <col min="22" max="22" width="19.5703125" customWidth="1"/>
    <col min="23" max="23" width="16.140625" bestFit="1" customWidth="1"/>
  </cols>
  <sheetData>
    <row r="1" spans="1:40" ht="16.5" thickBot="1" x14ac:dyDescent="0.3">
      <c r="A1" s="37" t="s">
        <v>46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40" ht="15.75" thickBot="1" x14ac:dyDescent="0.3">
      <c r="A2" s="1" t="s">
        <v>3</v>
      </c>
      <c r="B2" s="5" t="s">
        <v>4</v>
      </c>
      <c r="C2" s="5" t="s">
        <v>0</v>
      </c>
      <c r="D2" s="5" t="s">
        <v>1</v>
      </c>
      <c r="E2" s="5" t="s">
        <v>5</v>
      </c>
      <c r="F2" s="5" t="s">
        <v>17</v>
      </c>
      <c r="G2" s="5" t="s">
        <v>2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23</v>
      </c>
      <c r="M2" s="5" t="s">
        <v>24</v>
      </c>
      <c r="N2" s="5" t="s">
        <v>43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14</v>
      </c>
    </row>
    <row r="3" spans="1:40" s="11" customFormat="1" ht="39.75" thickBot="1" x14ac:dyDescent="0.3">
      <c r="A3" s="1">
        <v>1</v>
      </c>
      <c r="B3" s="10" t="s">
        <v>35</v>
      </c>
      <c r="C3" s="12" t="s">
        <v>27</v>
      </c>
      <c r="D3" s="13" t="s">
        <v>32</v>
      </c>
      <c r="E3" s="13" t="s">
        <v>26</v>
      </c>
      <c r="F3" s="14" t="s">
        <v>25</v>
      </c>
      <c r="G3" s="14" t="s">
        <v>33</v>
      </c>
      <c r="H3" s="15" t="s">
        <v>44</v>
      </c>
      <c r="I3" s="15" t="s">
        <v>44</v>
      </c>
      <c r="J3" s="16">
        <v>8</v>
      </c>
      <c r="K3" s="16">
        <f>J3*5</f>
        <v>40</v>
      </c>
      <c r="L3" s="16">
        <f>J3*1000</f>
        <v>8000</v>
      </c>
      <c r="M3" s="16">
        <f>J3*5000</f>
        <v>40000</v>
      </c>
      <c r="N3" s="17" t="s">
        <v>34</v>
      </c>
      <c r="O3" s="18">
        <v>0.18</v>
      </c>
      <c r="P3" s="19">
        <f>O3*J3</f>
        <v>1.44</v>
      </c>
      <c r="Q3" s="18">
        <v>9.6000000000000002E-2</v>
      </c>
      <c r="R3" s="19">
        <f>Q3*K3</f>
        <v>3.84</v>
      </c>
      <c r="S3" s="18">
        <v>2.6749999999999999E-2</v>
      </c>
      <c r="T3" s="19">
        <f>S3*L3</f>
        <v>214</v>
      </c>
      <c r="U3" s="16">
        <v>1.9769999999999999E-2</v>
      </c>
      <c r="V3" s="19">
        <f>U3*M3</f>
        <v>790.8</v>
      </c>
      <c r="W3" s="20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15.75" thickBot="1" x14ac:dyDescent="0.3">
      <c r="A4" s="1">
        <f>A3+1</f>
        <v>2</v>
      </c>
      <c r="B4" s="21" t="s">
        <v>37</v>
      </c>
      <c r="C4" s="22" t="s">
        <v>36</v>
      </c>
      <c r="D4" s="23" t="s">
        <v>38</v>
      </c>
      <c r="E4" s="23" t="s">
        <v>40</v>
      </c>
      <c r="F4" s="23" t="s">
        <v>39</v>
      </c>
      <c r="G4" s="24" t="s">
        <v>41</v>
      </c>
      <c r="H4" s="25" t="s">
        <v>44</v>
      </c>
      <c r="I4" s="25" t="s">
        <v>42</v>
      </c>
      <c r="J4" s="26">
        <v>4</v>
      </c>
      <c r="K4" s="27">
        <f t="shared" ref="K4:K5" si="0">J4*5</f>
        <v>20</v>
      </c>
      <c r="L4" s="27">
        <f>J4*1000</f>
        <v>4000</v>
      </c>
      <c r="M4" s="27">
        <f>J4*5000</f>
        <v>20000</v>
      </c>
      <c r="N4" s="28" t="s">
        <v>34</v>
      </c>
      <c r="O4" s="29">
        <v>0.1</v>
      </c>
      <c r="P4" s="30">
        <f>O4*J4</f>
        <v>0.4</v>
      </c>
      <c r="Q4" s="29">
        <v>0.05</v>
      </c>
      <c r="R4" s="30">
        <f>Q4*K4</f>
        <v>1</v>
      </c>
      <c r="S4" s="29">
        <v>7.9399999999999991E-3</v>
      </c>
      <c r="T4" s="30">
        <f>S4*L4</f>
        <v>31.759999999999998</v>
      </c>
      <c r="U4" s="31">
        <v>6.5599999999999999E-3</v>
      </c>
      <c r="V4" s="32">
        <f>U4*M4</f>
        <v>131.19999999999999</v>
      </c>
      <c r="W4" s="33"/>
    </row>
    <row r="5" spans="1:40" ht="15.75" thickBot="1" x14ac:dyDescent="0.3">
      <c r="A5" s="34">
        <f>A4+1</f>
        <v>3</v>
      </c>
      <c r="B5" s="6" t="s">
        <v>45</v>
      </c>
      <c r="C5" s="12" t="s">
        <v>30</v>
      </c>
      <c r="D5" s="13" t="s">
        <v>28</v>
      </c>
      <c r="E5" s="13" t="s">
        <v>29</v>
      </c>
      <c r="F5" s="13" t="s">
        <v>29</v>
      </c>
      <c r="G5" s="15" t="s">
        <v>18</v>
      </c>
      <c r="H5" s="15" t="s">
        <v>44</v>
      </c>
      <c r="I5" s="15" t="s">
        <v>44</v>
      </c>
      <c r="J5" s="16">
        <v>2</v>
      </c>
      <c r="K5" s="35">
        <f t="shared" si="0"/>
        <v>10</v>
      </c>
      <c r="L5" s="35">
        <f>J5*1000</f>
        <v>2000</v>
      </c>
      <c r="M5" s="35">
        <f>J5*5000</f>
        <v>10000</v>
      </c>
      <c r="N5" s="15" t="s">
        <v>44</v>
      </c>
      <c r="O5" s="15" t="s">
        <v>44</v>
      </c>
      <c r="P5" s="15" t="s">
        <v>44</v>
      </c>
      <c r="Q5" s="15" t="s">
        <v>44</v>
      </c>
      <c r="R5" s="15" t="s">
        <v>44</v>
      </c>
      <c r="S5" s="15" t="s">
        <v>44</v>
      </c>
      <c r="T5" s="15" t="s">
        <v>44</v>
      </c>
      <c r="U5" s="15" t="s">
        <v>44</v>
      </c>
      <c r="V5" s="15" t="s">
        <v>44</v>
      </c>
      <c r="W5" s="36" t="s">
        <v>31</v>
      </c>
    </row>
    <row r="6" spans="1:40" ht="19.5" thickBot="1" x14ac:dyDescent="0.35">
      <c r="J6" s="8" t="s">
        <v>15</v>
      </c>
      <c r="K6" s="8"/>
      <c r="L6" s="8"/>
      <c r="M6" s="8"/>
      <c r="N6" s="8"/>
      <c r="O6" s="8"/>
      <c r="R6" s="3">
        <f>SUM(R3:R4)</f>
        <v>4.84</v>
      </c>
      <c r="S6" s="3"/>
      <c r="T6" s="3">
        <f>SUM(T3:T4)</f>
        <v>245.76</v>
      </c>
      <c r="V6" s="7">
        <f>SUM(V3:V4)</f>
        <v>922</v>
      </c>
    </row>
    <row r="7" spans="1:40" ht="18.75" x14ac:dyDescent="0.3">
      <c r="J7" s="9" t="s">
        <v>16</v>
      </c>
      <c r="K7" s="9"/>
      <c r="L7" s="9"/>
      <c r="M7" s="9"/>
      <c r="N7" s="9"/>
      <c r="O7" s="9"/>
      <c r="P7" s="2">
        <f>SUM(P3:P4)</f>
        <v>1.8399999999999999</v>
      </c>
      <c r="R7" s="4">
        <f>R6/5</f>
        <v>0.96799999999999997</v>
      </c>
      <c r="S7" s="4"/>
      <c r="T7" s="4"/>
    </row>
  </sheetData>
  <mergeCells count="3">
    <mergeCell ref="J6:O6"/>
    <mergeCell ref="J7:O7"/>
    <mergeCell ref="A1:W1"/>
  </mergeCells>
  <phoneticPr fontId="7" type="noConversion"/>
  <conditionalFormatting sqref="J3:M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P7:T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R3:T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V3:V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3" r:id="rId1"/>
    <hyperlink ref="N4" r:id="rId2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</xm:sqref>
        </x14:conditionalFormatting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P7:T7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R3:T4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LED_Round_Board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2021-07-08T08:22:22Z</dcterms:created>
  <dcterms:modified xsi:type="dcterms:W3CDTF">2021-07-19T11:58:30Z</dcterms:modified>
</cp:coreProperties>
</file>