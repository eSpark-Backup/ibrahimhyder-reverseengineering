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eSpark\IbrahimHyder-ReverseEngineering\Deliverables\BOM\DigiKey_BOMs\"/>
    </mc:Choice>
  </mc:AlternateContent>
  <xr:revisionPtr revIDLastSave="0" documentId="13_ncr:1_{F27D8979-B65B-4110-9FB3-50E8D2DFF7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_Bottom_Board" sheetId="1" r:id="rId1"/>
  </sheets>
  <definedNames>
    <definedName name="_xlnm.Print_Titles" localSheetId="0">SM_Bottom_Board!#REF!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1" l="1"/>
  <c r="P16" i="1"/>
  <c r="V16" i="1"/>
  <c r="T16" i="1"/>
  <c r="V15" i="1"/>
  <c r="T15" i="1"/>
  <c r="R15" i="1"/>
  <c r="R11" i="1"/>
  <c r="P11" i="1"/>
  <c r="R10" i="1"/>
  <c r="R3" i="1"/>
  <c r="V3" i="1"/>
  <c r="K5" i="1"/>
  <c r="R5" i="1" s="1"/>
  <c r="L5" i="1"/>
  <c r="M5" i="1"/>
  <c r="V5" i="1" s="1"/>
  <c r="P5" i="1"/>
  <c r="T5" i="1"/>
  <c r="K6" i="1"/>
  <c r="L6" i="1"/>
  <c r="M6" i="1"/>
  <c r="P6" i="1"/>
  <c r="R6" i="1"/>
  <c r="T6" i="1"/>
  <c r="V6" i="1"/>
  <c r="K7" i="1"/>
  <c r="L7" i="1"/>
  <c r="M7" i="1"/>
  <c r="P7" i="1"/>
  <c r="R7" i="1"/>
  <c r="T7" i="1"/>
  <c r="V7" i="1"/>
  <c r="K8" i="1"/>
  <c r="L8" i="1"/>
  <c r="M8" i="1"/>
  <c r="P8" i="1"/>
  <c r="R8" i="1"/>
  <c r="T8" i="1"/>
  <c r="V8" i="1"/>
  <c r="K9" i="1"/>
  <c r="L9" i="1"/>
  <c r="T9" i="1" s="1"/>
  <c r="M9" i="1"/>
  <c r="P9" i="1"/>
  <c r="R9" i="1"/>
  <c r="V9" i="1"/>
  <c r="K10" i="1"/>
  <c r="L10" i="1"/>
  <c r="M10" i="1"/>
  <c r="P10" i="1"/>
  <c r="T10" i="1"/>
  <c r="V10" i="1"/>
  <c r="K11" i="1"/>
  <c r="L11" i="1"/>
  <c r="T11" i="1" s="1"/>
  <c r="M11" i="1"/>
  <c r="V11" i="1" s="1"/>
  <c r="K12" i="1"/>
  <c r="R12" i="1" s="1"/>
  <c r="L12" i="1"/>
  <c r="M12" i="1"/>
  <c r="V12" i="1" s="1"/>
  <c r="P12" i="1"/>
  <c r="T12" i="1"/>
  <c r="K13" i="1"/>
  <c r="R13" i="1" s="1"/>
  <c r="L13" i="1"/>
  <c r="T13" i="1" s="1"/>
  <c r="M13" i="1"/>
  <c r="V13" i="1" s="1"/>
  <c r="P13" i="1"/>
  <c r="K14" i="1"/>
  <c r="R14" i="1" s="1"/>
  <c r="L14" i="1"/>
  <c r="T14" i="1" s="1"/>
  <c r="M14" i="1"/>
  <c r="V14" i="1" s="1"/>
  <c r="P14" i="1"/>
  <c r="P4" i="1"/>
  <c r="P3" i="1"/>
  <c r="M4" i="1"/>
  <c r="V4" i="1" s="1"/>
  <c r="L4" i="1"/>
  <c r="T4" i="1" s="1"/>
  <c r="M3" i="1"/>
  <c r="L3" i="1"/>
  <c r="T3" i="1" s="1"/>
  <c r="K4" i="1" l="1"/>
  <c r="R4" i="1" s="1"/>
  <c r="K3" i="1"/>
</calcChain>
</file>

<file path=xl/sharedStrings.xml><?xml version="1.0" encoding="utf-8"?>
<sst xmlns="http://schemas.openxmlformats.org/spreadsheetml/2006/main" count="128" uniqueCount="105">
  <si>
    <t>Description</t>
  </si>
  <si>
    <t>Designator</t>
  </si>
  <si>
    <t>Manufacturer</t>
  </si>
  <si>
    <t>S. No.</t>
  </si>
  <si>
    <t>Components</t>
  </si>
  <si>
    <t>Footprint (Package)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</si>
  <si>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</si>
  <si>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</si>
  <si>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</si>
  <si>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</si>
  <si>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</si>
  <si>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</si>
  <si>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</si>
  <si>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</si>
  <si>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</si>
  <si>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Remarks</t>
  </si>
  <si>
    <t>Bill of Material (BOM) for Cole Benson</t>
  </si>
  <si>
    <t xml:space="preserve">Total Component Cost </t>
  </si>
  <si>
    <t>Single Board Cost</t>
  </si>
  <si>
    <t>Manufacturer Part No:</t>
  </si>
  <si>
    <t>DigiKey</t>
  </si>
  <si>
    <t>Unit Cost(1000)</t>
  </si>
  <si>
    <t>Total Cost(1000)</t>
  </si>
  <si>
    <t>Unit Cost(5000)</t>
  </si>
  <si>
    <t>Total Cost(5000)</t>
  </si>
  <si>
    <t>Quantity 1000</t>
  </si>
  <si>
    <t>Quantity 5000</t>
  </si>
  <si>
    <t>CAP CER 0.1UF 50V X7R 0805</t>
  </si>
  <si>
    <t>C1, C3, C5, C6, C7</t>
  </si>
  <si>
    <t>Cap0805</t>
  </si>
  <si>
    <t>0805B104K500CT</t>
  </si>
  <si>
    <t>CAP CER 10UF 25V X5R 0603</t>
  </si>
  <si>
    <t>C2, C4</t>
  </si>
  <si>
    <t>Cap0603</t>
  </si>
  <si>
    <t>C1608X5R1E106M080AC</t>
  </si>
  <si>
    <t>Conn Shrouded Header HDR 8 POS 1.5mm Solder ST SMD T/R</t>
  </si>
  <si>
    <t>J1</t>
  </si>
  <si>
    <t>B8B-ZR-SM4-TF(LF)(SN)</t>
  </si>
  <si>
    <t>LED GREEN CLEAR 0805 SMD</t>
  </si>
  <si>
    <t>LED1, LED2, LED3, LED4, LED5, LED6, LED7, LED8, LED9</t>
  </si>
  <si>
    <t>LED 0805</t>
  </si>
  <si>
    <t>150080GS75000</t>
  </si>
  <si>
    <t>Test Point ON</t>
  </si>
  <si>
    <t>P1, P2, P3, P4</t>
  </si>
  <si>
    <t>TEST POINT</t>
  </si>
  <si>
    <t>NPN 500mA 25V 300mW SOT-23(SOT-23-3) Bipolar Transistors - BJT RoHS</t>
  </si>
  <si>
    <t>Q1</t>
  </si>
  <si>
    <t>sot-23</t>
  </si>
  <si>
    <t>S8050</t>
  </si>
  <si>
    <t>RES SMD 1K OHM 5% 1/8W 0805</t>
  </si>
  <si>
    <t>R1, R14</t>
  </si>
  <si>
    <t>RES 0805</t>
  </si>
  <si>
    <t>CRCW08051K00JNEB</t>
  </si>
  <si>
    <t>RES 10K OHM 1% 1/8W 0805</t>
  </si>
  <si>
    <t>R2, R13, R17</t>
  </si>
  <si>
    <t>RMCF0805FT10K0</t>
  </si>
  <si>
    <t>Res SMD 100 Ohm 0.10% 1/8W 0805</t>
  </si>
  <si>
    <t>R3, R4, R5, R6, R7, R8, R9, R10, R11, R12, R15</t>
  </si>
  <si>
    <t>ERA6VEB1000V</t>
  </si>
  <si>
    <t>RES SMD 1K5 0.125W ±5% 0805</t>
  </si>
  <si>
    <t>R16</t>
  </si>
  <si>
    <t>RC0805JR-071K5L</t>
  </si>
  <si>
    <t>6mm 2 pin smd soft touch long travel silent tact switch</t>
  </si>
  <si>
    <t>SW1</t>
  </si>
  <si>
    <t>TVFU03</t>
  </si>
  <si>
    <t>SOT-23-6L Touch Sensors RoHS</t>
  </si>
  <si>
    <t>U1, U2</t>
  </si>
  <si>
    <t>SOT-23-6</t>
  </si>
  <si>
    <t>RH6015D</t>
  </si>
  <si>
    <t>0.1uF</t>
  </si>
  <si>
    <t>10uF</t>
  </si>
  <si>
    <t>Test Point</t>
  </si>
  <si>
    <t>1K</t>
  </si>
  <si>
    <t>10K</t>
  </si>
  <si>
    <t>100R</t>
  </si>
  <si>
    <t>1K5</t>
  </si>
  <si>
    <t>Test Points</t>
  </si>
  <si>
    <t>Wil not be Mounted</t>
  </si>
  <si>
    <t>Walsin Technology Corporation</t>
  </si>
  <si>
    <t>C1608X5R1C106M080AB</t>
  </si>
  <si>
    <t>--------------</t>
  </si>
  <si>
    <t>TDK Corporation</t>
  </si>
  <si>
    <t>JST (JAPAN SOLDERLESS TERMINALS)</t>
  </si>
  <si>
    <t>Minimum quantity: 10 pieces</t>
  </si>
  <si>
    <t>Newark</t>
  </si>
  <si>
    <t xml:space="preserve">	Würth Elektronik</t>
  </si>
  <si>
    <t>Mouser</t>
  </si>
  <si>
    <t>SS8050-G</t>
  </si>
  <si>
    <t>Comchip Technology</t>
  </si>
  <si>
    <t>RGC0805DTC10K0</t>
  </si>
  <si>
    <t>Vishay</t>
  </si>
  <si>
    <t>Stackpole Electronics Inc</t>
  </si>
  <si>
    <t>AC0805JR-07100RL</t>
  </si>
  <si>
    <t>Yageo</t>
  </si>
  <si>
    <t>YAGEO</t>
  </si>
  <si>
    <t>Local supplier</t>
  </si>
  <si>
    <t>Bill of Material (BOM) for Ibrahim Task</t>
  </si>
  <si>
    <t>available in a lot of 1000 pieces.</t>
  </si>
  <si>
    <t>Capacitors</t>
  </si>
  <si>
    <t>Connector</t>
  </si>
  <si>
    <t>LED</t>
  </si>
  <si>
    <t>Transistors</t>
  </si>
  <si>
    <t>Resistor</t>
  </si>
  <si>
    <t>Switch</t>
  </si>
  <si>
    <t>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</si>
</sst>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rgb="FF44444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1" fillId="2" borderId="6" xfId="0" applyFont="1" applyFill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165" fontId="0" fillId="0" borderId="8" xfId="0" applyNumberFormat="1" applyFont="1" applyBorder="1" applyAlignment="1">
      <alignment horizontal="center" vertical="center"/>
    </xf>
    <xf numFmtId="0" fontId="0" fillId="0" borderId="11" xfId="0" applyFont="1" applyBorder="1" applyAlignment="1"/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44" fontId="0" fillId="0" borderId="8" xfId="0" applyNumberFormat="1" applyFont="1" applyBorder="1" applyAlignment="1">
      <alignment horizontal="center" vertical="center"/>
    </xf>
    <xf numFmtId="44" fontId="0" fillId="0" borderId="0" xfId="0" applyNumberFormat="1"/>
    <xf numFmtId="0" fontId="0" fillId="0" borderId="9" xfId="0" applyFont="1" applyBorder="1" applyAlignment="1">
      <alignment horizontal="center" vertical="center" wrapText="1"/>
    </xf>
    <xf numFmtId="0" fontId="8" fillId="0" borderId="8" xfId="0" quotePrefix="1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4" fillId="0" borderId="8" xfId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0" fillId="0" borderId="1" xfId="0" quotePrefix="1" applyBorder="1" applyAlignment="1">
      <alignment vertical="center" wrapText="1"/>
    </xf>
    <xf numFmtId="0" fontId="9" fillId="4" borderId="1" xfId="0" quotePrefix="1" applyFont="1" applyFill="1" applyBorder="1" applyAlignment="1">
      <alignment vertical="center" wrapText="1"/>
    </xf>
    <xf numFmtId="0" fontId="9" fillId="4" borderId="1" xfId="0" quotePrefix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0" fillId="0" borderId="8" xfId="0" quotePrefix="1" applyBorder="1" applyAlignment="1">
      <alignment vertical="center" wrapText="1"/>
    </xf>
    <xf numFmtId="0" fontId="0" fillId="0" borderId="8" xfId="0" quotePrefix="1" applyBorder="1" applyAlignment="1">
      <alignment horizontal="center" vertical="center" wrapText="1"/>
    </xf>
    <xf numFmtId="0" fontId="6" fillId="0" borderId="8" xfId="0" quotePrefix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0" fillId="0" borderId="8" xfId="0" applyNumberFormat="1" applyFont="1" applyBorder="1" applyAlignment="1">
      <alignment horizontal="center" vertical="center"/>
    </xf>
    <xf numFmtId="44" fontId="0" fillId="0" borderId="8" xfId="0" applyNumberFormat="1" applyFont="1" applyBorder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1" applyBorder="1" applyAlignment="1">
      <alignment horizontal="center" vertical="center"/>
    </xf>
    <xf numFmtId="44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44" fontId="0" fillId="0" borderId="1" xfId="0" applyNumberFormat="1" applyFont="1" applyBorder="1" applyAlignment="1"/>
    <xf numFmtId="0" fontId="3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wrapText="1"/>
    </xf>
    <xf numFmtId="0" fontId="0" fillId="0" borderId="1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quotePrefix="1" applyFont="1" applyFill="1" applyBorder="1" applyAlignment="1">
      <alignment horizontal="center" wrapText="1"/>
    </xf>
    <xf numFmtId="165" fontId="9" fillId="4" borderId="1" xfId="0" applyNumberFormat="1" applyFont="1" applyFill="1" applyBorder="1" applyAlignment="1">
      <alignment horizontal="center" vertical="center"/>
    </xf>
    <xf numFmtId="44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/>
    <xf numFmtId="44" fontId="9" fillId="4" borderId="1" xfId="0" applyNumberFormat="1" applyFont="1" applyFill="1" applyBorder="1" applyAlignment="1"/>
    <xf numFmtId="0" fontId="9" fillId="4" borderId="1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3" xfId="0" quotePrefix="1" applyBorder="1" applyAlignment="1">
      <alignment vertical="center" wrapText="1"/>
    </xf>
    <xf numFmtId="0" fontId="0" fillId="0" borderId="13" xfId="0" quotePrefix="1" applyBorder="1" applyAlignment="1">
      <alignment horizontal="center" vertical="center" wrapText="1"/>
    </xf>
    <xf numFmtId="0" fontId="6" fillId="0" borderId="13" xfId="0" quotePrefix="1" applyFont="1" applyBorder="1" applyAlignment="1">
      <alignment horizontal="center" vertical="center" wrapText="1"/>
    </xf>
    <xf numFmtId="0" fontId="8" fillId="0" borderId="13" xfId="0" quotePrefix="1" applyFont="1" applyBorder="1" applyAlignment="1">
      <alignment horizont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165" fontId="0" fillId="0" borderId="13" xfId="0" applyNumberFormat="1" applyFont="1" applyBorder="1" applyAlignment="1">
      <alignment horizontal="center" vertical="center"/>
    </xf>
    <xf numFmtId="44" fontId="0" fillId="0" borderId="13" xfId="0" applyNumberFormat="1" applyFont="1" applyBorder="1" applyAlignment="1">
      <alignment horizontal="center" vertical="center"/>
    </xf>
    <xf numFmtId="164" fontId="0" fillId="0" borderId="13" xfId="0" applyNumberFormat="1" applyFont="1" applyBorder="1" applyAlignment="1">
      <alignment horizontal="center" vertical="center"/>
    </xf>
    <xf numFmtId="44" fontId="0" fillId="0" borderId="13" xfId="0" applyNumberFormat="1" applyFont="1" applyBorder="1" applyAlignment="1"/>
    <xf numFmtId="0" fontId="0" fillId="0" borderId="14" xfId="0" applyFont="1" applyBorder="1" applyAlignment="1"/>
    <xf numFmtId="0" fontId="11" fillId="0" borderId="1" xfId="0" quotePrefix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AC0805JR-07100RL/5897042" TargetMode="External"/><Relationship Id="rId3" Type="http://schemas.openxmlformats.org/officeDocument/2006/relationships/hyperlink" Target="https://www.newark.com/jst-japan-solderless-terminals/b8b-zr-sm4-tf/wire-to-board-connector-top-entry/dp/90R8582?CMP=AFC-OP" TargetMode="External"/><Relationship Id="rId7" Type="http://schemas.openxmlformats.org/officeDocument/2006/relationships/hyperlink" Target="https://www.digikey.com/en/products/detail/stackpole-electronics-inc/RGC0805DTC10K0/1745315" TargetMode="External"/><Relationship Id="rId2" Type="http://schemas.openxmlformats.org/officeDocument/2006/relationships/hyperlink" Target="https://www.digikey.com/en/products/detail/tdk-corporation/C1608X5R1C106M080AB/3648587" TargetMode="External"/><Relationship Id="rId1" Type="http://schemas.openxmlformats.org/officeDocument/2006/relationships/hyperlink" Target="https://www.digikey.in/product-detail/en/walsin-technology-corporation/0805B104K500CT/1292-1647-1-ND/9355651" TargetMode="External"/><Relationship Id="rId6" Type="http://schemas.openxmlformats.org/officeDocument/2006/relationships/hyperlink" Target="https://www.digikey.com/en/products/detail/vishay-dale/CRCW08051K00JNEB/5074061" TargetMode="External"/><Relationship Id="rId5" Type="http://schemas.openxmlformats.org/officeDocument/2006/relationships/hyperlink" Target="https://eu.mouser.com/ProductDetail/Comchip-Technology/SS8050-G?qs=LLUE9lz1YbcHg%252BWLMAtcrQ%3D%3D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w%C3%BCrth-elektronik/150080GS75000/4489915" TargetMode="External"/><Relationship Id="rId9" Type="http://schemas.openxmlformats.org/officeDocument/2006/relationships/hyperlink" Target="https://eu.mouser.com/ProductDetail/Yageo/RC0805JR-071K5L?qs=KyGMWp10UkvcavEySTSwt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6"/>
  <sheetViews>
    <sheetView tabSelected="1" topLeftCell="K1" zoomScale="78" zoomScaleNormal="78" workbookViewId="0">
      <selection activeCell="N7" sqref="N7"/>
    </sheetView>
  </sheetViews>
  <sheetFormatPr defaultRowHeight="15" x14ac:dyDescent="0.25"/>
  <cols>
    <col min="1" max="1" width="6.140625" bestFit="1" customWidth="1"/>
    <col min="2" max="2" width="16.5703125" customWidth="1"/>
    <col min="3" max="3" width="73.5703125" bestFit="1" customWidth="1"/>
    <col min="4" max="4" width="28.140625" customWidth="1"/>
    <col min="5" max="5" width="25" customWidth="1"/>
    <col min="6" max="6" width="28" customWidth="1"/>
    <col min="7" max="7" width="19.85546875" bestFit="1" customWidth="1"/>
    <col min="8" max="8" width="30.140625" customWidth="1"/>
    <col min="9" max="9" width="22.42578125" bestFit="1" customWidth="1"/>
    <col min="10" max="10" width="19.42578125" bestFit="1" customWidth="1"/>
    <col min="11" max="11" width="13.42578125" bestFit="1" customWidth="1"/>
    <col min="12" max="13" width="13.42578125" customWidth="1"/>
    <col min="14" max="14" width="15.7109375" bestFit="1" customWidth="1"/>
    <col min="15" max="15" width="14.5703125" bestFit="1" customWidth="1"/>
    <col min="16" max="16" width="15.85546875" bestFit="1" customWidth="1"/>
    <col min="17" max="17" width="24.5703125" bestFit="1" customWidth="1"/>
    <col min="18" max="18" width="17.140625" bestFit="1" customWidth="1"/>
    <col min="19" max="19" width="17.140625" customWidth="1"/>
    <col min="20" max="20" width="18" customWidth="1"/>
    <col min="21" max="21" width="14.85546875" customWidth="1"/>
    <col min="22" max="22" width="19.5703125" customWidth="1"/>
    <col min="23" max="23" width="38.140625" customWidth="1"/>
  </cols>
  <sheetData>
    <row r="1" spans="1:40" ht="16.5" thickBot="1" x14ac:dyDescent="0.3">
      <c r="A1" s="20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  <c r="V1" s="20" t="s">
        <v>16</v>
      </c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2"/>
    </row>
    <row r="2" spans="1:40" ht="15.75" thickBot="1" x14ac:dyDescent="0.3">
      <c r="A2" s="1" t="s">
        <v>3</v>
      </c>
      <c r="B2" s="6" t="s">
        <v>4</v>
      </c>
      <c r="C2" s="6" t="s">
        <v>0</v>
      </c>
      <c r="D2" s="6" t="s">
        <v>1</v>
      </c>
      <c r="E2" s="6" t="s">
        <v>5</v>
      </c>
      <c r="F2" s="6" t="s">
        <v>19</v>
      </c>
      <c r="G2" s="6" t="s">
        <v>2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25</v>
      </c>
      <c r="M2" s="6" t="s">
        <v>26</v>
      </c>
      <c r="N2" s="6" t="s">
        <v>10</v>
      </c>
      <c r="O2" s="6" t="s">
        <v>11</v>
      </c>
      <c r="P2" s="6" t="s">
        <v>12</v>
      </c>
      <c r="Q2" s="6" t="s">
        <v>13</v>
      </c>
      <c r="R2" s="6" t="s">
        <v>14</v>
      </c>
      <c r="S2" s="6" t="s">
        <v>21</v>
      </c>
      <c r="T2" s="6" t="s">
        <v>22</v>
      </c>
      <c r="U2" s="6" t="s">
        <v>23</v>
      </c>
      <c r="V2" s="6" t="s">
        <v>24</v>
      </c>
      <c r="W2" s="6" t="s">
        <v>15</v>
      </c>
    </row>
    <row r="3" spans="1:40" ht="25.5" x14ac:dyDescent="0.25">
      <c r="A3" s="11">
        <v>1</v>
      </c>
      <c r="B3" s="30" t="s">
        <v>98</v>
      </c>
      <c r="C3" s="31" t="s">
        <v>27</v>
      </c>
      <c r="D3" s="32" t="s">
        <v>28</v>
      </c>
      <c r="E3" s="32" t="s">
        <v>29</v>
      </c>
      <c r="F3" s="32" t="s">
        <v>30</v>
      </c>
      <c r="G3" s="33" t="s">
        <v>78</v>
      </c>
      <c r="H3" s="17" t="s">
        <v>80</v>
      </c>
      <c r="I3" s="32" t="s">
        <v>69</v>
      </c>
      <c r="J3" s="34">
        <v>5</v>
      </c>
      <c r="K3" s="8">
        <f>J3*5</f>
        <v>25</v>
      </c>
      <c r="L3" s="8">
        <f>J3*1000</f>
        <v>5000</v>
      </c>
      <c r="M3" s="8">
        <f>J3*5000</f>
        <v>25000</v>
      </c>
      <c r="N3" s="19" t="s">
        <v>20</v>
      </c>
      <c r="O3" s="9">
        <v>0.12</v>
      </c>
      <c r="P3" s="14">
        <f>O3*J3</f>
        <v>0.6</v>
      </c>
      <c r="Q3" s="9">
        <v>8.5999999999999993E-2</v>
      </c>
      <c r="R3" s="14">
        <f>(0.086*20)+(0.12*5)</f>
        <v>2.3199999999999998</v>
      </c>
      <c r="S3" s="9">
        <v>2.3519999999999999E-2</v>
      </c>
      <c r="T3" s="14">
        <f>S3*L3</f>
        <v>117.6</v>
      </c>
      <c r="U3" s="35">
        <v>2.3519999999999999E-2</v>
      </c>
      <c r="V3" s="36">
        <f>U3*M3</f>
        <v>588</v>
      </c>
      <c r="W3" s="16"/>
    </row>
    <row r="4" spans="1:40" x14ac:dyDescent="0.25">
      <c r="A4" s="12">
        <v>2</v>
      </c>
      <c r="B4" s="37"/>
      <c r="C4" s="25" t="s">
        <v>31</v>
      </c>
      <c r="D4" s="28" t="s">
        <v>32</v>
      </c>
      <c r="E4" s="28" t="s">
        <v>33</v>
      </c>
      <c r="F4" s="28" t="s">
        <v>34</v>
      </c>
      <c r="G4" s="38" t="s">
        <v>81</v>
      </c>
      <c r="H4" s="68" t="s">
        <v>79</v>
      </c>
      <c r="I4" s="28" t="s">
        <v>70</v>
      </c>
      <c r="J4" s="18">
        <v>2</v>
      </c>
      <c r="K4" s="2">
        <f t="shared" ref="K4:K5" si="0">J4*5</f>
        <v>10</v>
      </c>
      <c r="L4" s="2">
        <f>J4*1000</f>
        <v>2000</v>
      </c>
      <c r="M4" s="2">
        <f>J4*5000</f>
        <v>10000</v>
      </c>
      <c r="N4" s="39" t="s">
        <v>20</v>
      </c>
      <c r="O4" s="7">
        <v>0.68</v>
      </c>
      <c r="P4" s="40">
        <f>O4*J4</f>
        <v>1.36</v>
      </c>
      <c r="Q4" s="7">
        <v>0.48399999999999999</v>
      </c>
      <c r="R4" s="40">
        <f>Q4*K4</f>
        <v>4.84</v>
      </c>
      <c r="S4" s="7">
        <v>0.20058000000000001</v>
      </c>
      <c r="T4" s="40">
        <f>S4*L4</f>
        <v>401.16</v>
      </c>
      <c r="U4" s="41">
        <v>0.20058000000000001</v>
      </c>
      <c r="V4" s="42">
        <f>U4*M4</f>
        <v>2005.8000000000002</v>
      </c>
      <c r="W4" s="10"/>
    </row>
    <row r="5" spans="1:40" ht="25.5" x14ac:dyDescent="0.25">
      <c r="A5" s="12">
        <v>3</v>
      </c>
      <c r="B5" s="43" t="s">
        <v>99</v>
      </c>
      <c r="C5" s="25" t="s">
        <v>35</v>
      </c>
      <c r="D5" s="28" t="s">
        <v>36</v>
      </c>
      <c r="E5" s="28" t="s">
        <v>37</v>
      </c>
      <c r="F5" s="28" t="s">
        <v>37</v>
      </c>
      <c r="G5" s="13" t="s">
        <v>82</v>
      </c>
      <c r="H5" s="44" t="s">
        <v>80</v>
      </c>
      <c r="I5" s="28" t="s">
        <v>37</v>
      </c>
      <c r="J5" s="18">
        <v>1</v>
      </c>
      <c r="K5" s="2">
        <f t="shared" si="0"/>
        <v>5</v>
      </c>
      <c r="L5" s="2">
        <f t="shared" ref="L5:L14" si="1">J5*1000</f>
        <v>1000</v>
      </c>
      <c r="M5" s="2">
        <f t="shared" ref="M5:M14" si="2">J5*5000</f>
        <v>5000</v>
      </c>
      <c r="N5" s="39" t="s">
        <v>84</v>
      </c>
      <c r="O5" s="7">
        <v>1.24</v>
      </c>
      <c r="P5" s="40">
        <f t="shared" ref="P5:P14" si="3">O5*J5</f>
        <v>1.24</v>
      </c>
      <c r="Q5" s="7">
        <v>1.24</v>
      </c>
      <c r="R5" s="40">
        <f t="shared" ref="R5:R14" si="4">Q5*K5</f>
        <v>6.2</v>
      </c>
      <c r="S5" s="7">
        <v>0.872</v>
      </c>
      <c r="T5" s="40">
        <f t="shared" ref="T5:T14" si="5">S5*L5</f>
        <v>872</v>
      </c>
      <c r="U5" s="41">
        <v>0.872</v>
      </c>
      <c r="V5" s="42">
        <f t="shared" ref="V5:V14" si="6">U5*M5</f>
        <v>4360</v>
      </c>
      <c r="W5" s="45" t="s">
        <v>83</v>
      </c>
    </row>
    <row r="6" spans="1:40" ht="30" x14ac:dyDescent="0.25">
      <c r="A6" s="12">
        <v>4</v>
      </c>
      <c r="B6" s="43" t="s">
        <v>100</v>
      </c>
      <c r="C6" s="25" t="s">
        <v>38</v>
      </c>
      <c r="D6" s="28" t="s">
        <v>39</v>
      </c>
      <c r="E6" s="28" t="s">
        <v>40</v>
      </c>
      <c r="F6" s="28" t="s">
        <v>41</v>
      </c>
      <c r="G6" s="13" t="s">
        <v>85</v>
      </c>
      <c r="H6" s="44" t="s">
        <v>80</v>
      </c>
      <c r="I6" s="28" t="s">
        <v>41</v>
      </c>
      <c r="J6" s="18">
        <v>9</v>
      </c>
      <c r="K6" s="2">
        <f t="shared" ref="K6:K14" si="7">J6*5</f>
        <v>45</v>
      </c>
      <c r="L6" s="2">
        <f t="shared" si="1"/>
        <v>9000</v>
      </c>
      <c r="M6" s="2">
        <f t="shared" si="2"/>
        <v>45000</v>
      </c>
      <c r="N6" s="39" t="s">
        <v>20</v>
      </c>
      <c r="O6" s="7">
        <v>0.18</v>
      </c>
      <c r="P6" s="40">
        <f t="shared" si="3"/>
        <v>1.6199999999999999</v>
      </c>
      <c r="Q6" s="7">
        <v>0.18</v>
      </c>
      <c r="R6" s="40">
        <f t="shared" si="4"/>
        <v>8.1</v>
      </c>
      <c r="S6" s="7">
        <v>0.123</v>
      </c>
      <c r="T6" s="40">
        <f t="shared" si="5"/>
        <v>1107</v>
      </c>
      <c r="U6" s="41">
        <v>0.123</v>
      </c>
      <c r="V6" s="42">
        <f t="shared" si="6"/>
        <v>5535</v>
      </c>
      <c r="W6" s="10"/>
    </row>
    <row r="7" spans="1:40" x14ac:dyDescent="0.25">
      <c r="A7" s="12">
        <v>5</v>
      </c>
      <c r="B7" s="46" t="s">
        <v>76</v>
      </c>
      <c r="C7" s="26" t="s">
        <v>42</v>
      </c>
      <c r="D7" s="27" t="s">
        <v>43</v>
      </c>
      <c r="E7" s="27" t="s">
        <v>44</v>
      </c>
      <c r="F7" s="27" t="s">
        <v>44</v>
      </c>
      <c r="G7" s="27"/>
      <c r="H7" s="47"/>
      <c r="I7" s="27" t="s">
        <v>71</v>
      </c>
      <c r="J7" s="29">
        <v>4</v>
      </c>
      <c r="K7" s="46">
        <f t="shared" si="7"/>
        <v>20</v>
      </c>
      <c r="L7" s="46">
        <f t="shared" si="1"/>
        <v>4000</v>
      </c>
      <c r="M7" s="46">
        <f t="shared" si="2"/>
        <v>20000</v>
      </c>
      <c r="N7" s="39"/>
      <c r="O7" s="48"/>
      <c r="P7" s="49">
        <f t="shared" si="3"/>
        <v>0</v>
      </c>
      <c r="Q7" s="48"/>
      <c r="R7" s="49">
        <f t="shared" si="4"/>
        <v>0</v>
      </c>
      <c r="S7" s="48"/>
      <c r="T7" s="49">
        <f t="shared" si="5"/>
        <v>0</v>
      </c>
      <c r="U7" s="50"/>
      <c r="V7" s="51">
        <f t="shared" si="6"/>
        <v>0</v>
      </c>
      <c r="W7" s="52" t="s">
        <v>77</v>
      </c>
    </row>
    <row r="8" spans="1:40" x14ac:dyDescent="0.25">
      <c r="A8" s="12">
        <v>6</v>
      </c>
      <c r="B8" s="43" t="s">
        <v>101</v>
      </c>
      <c r="C8" s="25" t="s">
        <v>45</v>
      </c>
      <c r="D8" s="28" t="s">
        <v>46</v>
      </c>
      <c r="E8" s="28" t="s">
        <v>47</v>
      </c>
      <c r="F8" s="28" t="s">
        <v>48</v>
      </c>
      <c r="G8" s="13" t="s">
        <v>88</v>
      </c>
      <c r="H8" s="69" t="s">
        <v>87</v>
      </c>
      <c r="I8" s="28" t="s">
        <v>48</v>
      </c>
      <c r="J8" s="18">
        <v>1</v>
      </c>
      <c r="K8" s="2">
        <f t="shared" si="7"/>
        <v>5</v>
      </c>
      <c r="L8" s="2">
        <f t="shared" si="1"/>
        <v>1000</v>
      </c>
      <c r="M8" s="2">
        <f t="shared" si="2"/>
        <v>5000</v>
      </c>
      <c r="N8" s="39" t="s">
        <v>86</v>
      </c>
      <c r="O8" s="7">
        <v>0.26200000000000001</v>
      </c>
      <c r="P8" s="40">
        <f t="shared" si="3"/>
        <v>0.26200000000000001</v>
      </c>
      <c r="Q8" s="7">
        <v>0.26200000000000001</v>
      </c>
      <c r="R8" s="40">
        <f t="shared" si="4"/>
        <v>1.31</v>
      </c>
      <c r="S8" s="7">
        <v>0.26200000000000001</v>
      </c>
      <c r="T8" s="40">
        <f t="shared" si="5"/>
        <v>262</v>
      </c>
      <c r="U8" s="7">
        <v>0.26200000000000001</v>
      </c>
      <c r="V8" s="42">
        <f t="shared" si="6"/>
        <v>1310</v>
      </c>
      <c r="W8" s="10"/>
    </row>
    <row r="9" spans="1:40" x14ac:dyDescent="0.25">
      <c r="A9" s="12">
        <v>7</v>
      </c>
      <c r="B9" s="37" t="s">
        <v>102</v>
      </c>
      <c r="C9" s="25" t="s">
        <v>49</v>
      </c>
      <c r="D9" s="28" t="s">
        <v>50</v>
      </c>
      <c r="E9" s="28" t="s">
        <v>51</v>
      </c>
      <c r="F9" s="28" t="s">
        <v>52</v>
      </c>
      <c r="G9" s="13" t="s">
        <v>90</v>
      </c>
      <c r="H9" s="44"/>
      <c r="I9" s="28" t="s">
        <v>72</v>
      </c>
      <c r="J9" s="18">
        <v>2</v>
      </c>
      <c r="K9" s="2">
        <f t="shared" si="7"/>
        <v>10</v>
      </c>
      <c r="L9" s="2">
        <f t="shared" si="1"/>
        <v>2000</v>
      </c>
      <c r="M9" s="2">
        <f t="shared" si="2"/>
        <v>10000</v>
      </c>
      <c r="N9" s="39" t="s">
        <v>20</v>
      </c>
      <c r="O9" s="7">
        <v>0.1</v>
      </c>
      <c r="P9" s="40">
        <f t="shared" si="3"/>
        <v>0.2</v>
      </c>
      <c r="Q9" s="7">
        <v>0.05</v>
      </c>
      <c r="R9" s="40">
        <f t="shared" si="4"/>
        <v>0.5</v>
      </c>
      <c r="S9" s="7">
        <v>9.1400000000000006E-3</v>
      </c>
      <c r="T9" s="40">
        <f t="shared" si="5"/>
        <v>18.28</v>
      </c>
      <c r="U9" s="41">
        <v>6.5599999999999999E-3</v>
      </c>
      <c r="V9" s="42">
        <f t="shared" si="6"/>
        <v>65.599999999999994</v>
      </c>
      <c r="W9" s="45"/>
    </row>
    <row r="10" spans="1:40" ht="25.5" x14ac:dyDescent="0.25">
      <c r="A10" s="12">
        <v>8</v>
      </c>
      <c r="B10" s="37"/>
      <c r="C10" s="25" t="s">
        <v>53</v>
      </c>
      <c r="D10" s="28" t="s">
        <v>54</v>
      </c>
      <c r="E10" s="28" t="s">
        <v>51</v>
      </c>
      <c r="F10" s="28" t="s">
        <v>55</v>
      </c>
      <c r="G10" s="13" t="s">
        <v>91</v>
      </c>
      <c r="H10" s="69" t="s">
        <v>89</v>
      </c>
      <c r="I10" s="28" t="s">
        <v>73</v>
      </c>
      <c r="J10" s="18">
        <v>3</v>
      </c>
      <c r="K10" s="2">
        <f t="shared" si="7"/>
        <v>15</v>
      </c>
      <c r="L10" s="2">
        <f t="shared" si="1"/>
        <v>3000</v>
      </c>
      <c r="M10" s="2">
        <f t="shared" si="2"/>
        <v>15000</v>
      </c>
      <c r="N10" s="39" t="s">
        <v>20</v>
      </c>
      <c r="O10" s="7">
        <v>0.31</v>
      </c>
      <c r="P10" s="40">
        <f t="shared" si="3"/>
        <v>0.92999999999999994</v>
      </c>
      <c r="Q10" s="7">
        <v>0.26600000000000001</v>
      </c>
      <c r="R10" s="40">
        <f>(0.266*10)+(0.31*5)</f>
        <v>4.21</v>
      </c>
      <c r="S10" s="7">
        <v>3.9849999999999997E-2</v>
      </c>
      <c r="T10" s="40">
        <f t="shared" si="5"/>
        <v>119.54999999999998</v>
      </c>
      <c r="U10" s="41">
        <v>3.6220000000000002E-2</v>
      </c>
      <c r="V10" s="42">
        <f t="shared" si="6"/>
        <v>543.30000000000007</v>
      </c>
      <c r="W10" s="10"/>
    </row>
    <row r="11" spans="1:40" ht="30.75" customHeight="1" x14ac:dyDescent="0.25">
      <c r="A11" s="12">
        <v>9</v>
      </c>
      <c r="B11" s="37"/>
      <c r="C11" s="25" t="s">
        <v>56</v>
      </c>
      <c r="D11" s="28" t="s">
        <v>57</v>
      </c>
      <c r="E11" s="28" t="s">
        <v>51</v>
      </c>
      <c r="F11" s="28" t="s">
        <v>58</v>
      </c>
      <c r="G11" s="13" t="s">
        <v>93</v>
      </c>
      <c r="H11" s="44" t="s">
        <v>92</v>
      </c>
      <c r="I11" s="28" t="s">
        <v>74</v>
      </c>
      <c r="J11" s="18">
        <v>11</v>
      </c>
      <c r="K11" s="2">
        <f t="shared" si="7"/>
        <v>55</v>
      </c>
      <c r="L11" s="2">
        <f t="shared" si="1"/>
        <v>11000</v>
      </c>
      <c r="M11" s="2">
        <f t="shared" si="2"/>
        <v>55000</v>
      </c>
      <c r="N11" s="39" t="s">
        <v>20</v>
      </c>
      <c r="O11" s="53">
        <v>4.2999999999999997E-2</v>
      </c>
      <c r="P11" s="40">
        <f>(O11*10)+0.1</f>
        <v>0.52999999999999992</v>
      </c>
      <c r="Q11" s="53">
        <v>4.2999999999999997E-2</v>
      </c>
      <c r="R11" s="40">
        <f>(Q11*50)+(0.1*5)</f>
        <v>2.65</v>
      </c>
      <c r="S11" s="7">
        <v>7.77E-3</v>
      </c>
      <c r="T11" s="40">
        <f t="shared" si="5"/>
        <v>85.47</v>
      </c>
      <c r="U11" s="41">
        <v>5.5700000000000003E-3</v>
      </c>
      <c r="V11" s="42">
        <f t="shared" si="6"/>
        <v>306.35000000000002</v>
      </c>
      <c r="W11" s="45"/>
    </row>
    <row r="12" spans="1:40" x14ac:dyDescent="0.25">
      <c r="A12" s="12">
        <v>10</v>
      </c>
      <c r="B12" s="37"/>
      <c r="C12" s="25" t="s">
        <v>59</v>
      </c>
      <c r="D12" s="28" t="s">
        <v>60</v>
      </c>
      <c r="E12" s="28" t="s">
        <v>51</v>
      </c>
      <c r="F12" s="28" t="s">
        <v>61</v>
      </c>
      <c r="G12" s="13" t="s">
        <v>94</v>
      </c>
      <c r="H12" s="44" t="s">
        <v>80</v>
      </c>
      <c r="I12" s="28" t="s">
        <v>75</v>
      </c>
      <c r="J12" s="18">
        <v>1</v>
      </c>
      <c r="K12" s="2">
        <f t="shared" si="7"/>
        <v>5</v>
      </c>
      <c r="L12" s="2">
        <f t="shared" si="1"/>
        <v>1000</v>
      </c>
      <c r="M12" s="2">
        <f t="shared" si="2"/>
        <v>5000</v>
      </c>
      <c r="N12" s="39" t="s">
        <v>86</v>
      </c>
      <c r="O12" s="7">
        <v>0.10100000000000001</v>
      </c>
      <c r="P12" s="40">
        <f t="shared" si="3"/>
        <v>0.10100000000000001</v>
      </c>
      <c r="Q12" s="7">
        <v>0.10100000000000001</v>
      </c>
      <c r="R12" s="40">
        <f t="shared" si="4"/>
        <v>0.505</v>
      </c>
      <c r="S12" s="7">
        <v>7.0000000000000001E-3</v>
      </c>
      <c r="T12" s="40">
        <f t="shared" si="5"/>
        <v>7</v>
      </c>
      <c r="U12" s="41">
        <v>7.0000000000000001E-3</v>
      </c>
      <c r="V12" s="42">
        <f t="shared" si="6"/>
        <v>35</v>
      </c>
      <c r="W12" s="10"/>
    </row>
    <row r="13" spans="1:40" x14ac:dyDescent="0.25">
      <c r="A13" s="12">
        <v>11</v>
      </c>
      <c r="B13" s="43" t="s">
        <v>103</v>
      </c>
      <c r="C13" s="25" t="s">
        <v>62</v>
      </c>
      <c r="D13" s="28" t="s">
        <v>63</v>
      </c>
      <c r="E13" s="28" t="s">
        <v>64</v>
      </c>
      <c r="F13" s="28" t="s">
        <v>64</v>
      </c>
      <c r="G13" s="13"/>
      <c r="H13" s="44" t="s">
        <v>80</v>
      </c>
      <c r="I13" s="28" t="s">
        <v>64</v>
      </c>
      <c r="J13" s="18">
        <v>1</v>
      </c>
      <c r="K13" s="2">
        <f t="shared" si="7"/>
        <v>5</v>
      </c>
      <c r="L13" s="2">
        <f t="shared" si="1"/>
        <v>1000</v>
      </c>
      <c r="M13" s="2">
        <f t="shared" si="2"/>
        <v>5000</v>
      </c>
      <c r="N13" s="39" t="s">
        <v>95</v>
      </c>
      <c r="O13" s="7">
        <v>0.15</v>
      </c>
      <c r="P13" s="40">
        <f t="shared" si="3"/>
        <v>0.15</v>
      </c>
      <c r="Q13" s="7">
        <v>0.15</v>
      </c>
      <c r="R13" s="40">
        <f t="shared" si="4"/>
        <v>0.75</v>
      </c>
      <c r="S13" s="7">
        <v>0.15</v>
      </c>
      <c r="T13" s="40">
        <f t="shared" si="5"/>
        <v>150</v>
      </c>
      <c r="U13" s="41">
        <v>0.1</v>
      </c>
      <c r="V13" s="42">
        <f t="shared" si="6"/>
        <v>500</v>
      </c>
      <c r="W13" s="45" t="s">
        <v>97</v>
      </c>
    </row>
    <row r="14" spans="1:40" ht="15.75" thickBot="1" x14ac:dyDescent="0.3">
      <c r="A14" s="54">
        <v>12</v>
      </c>
      <c r="B14" s="55" t="s">
        <v>104</v>
      </c>
      <c r="C14" s="56" t="s">
        <v>65</v>
      </c>
      <c r="D14" s="57" t="s">
        <v>66</v>
      </c>
      <c r="E14" s="57" t="s">
        <v>67</v>
      </c>
      <c r="F14" s="57" t="s">
        <v>68</v>
      </c>
      <c r="G14" s="58"/>
      <c r="H14" s="59" t="s">
        <v>80</v>
      </c>
      <c r="I14" s="57" t="s">
        <v>68</v>
      </c>
      <c r="J14" s="60">
        <v>2</v>
      </c>
      <c r="K14" s="61">
        <f t="shared" si="7"/>
        <v>10</v>
      </c>
      <c r="L14" s="61">
        <f t="shared" si="1"/>
        <v>2000</v>
      </c>
      <c r="M14" s="61">
        <f t="shared" si="2"/>
        <v>10000</v>
      </c>
      <c r="N14" s="62" t="s">
        <v>95</v>
      </c>
      <c r="O14" s="63">
        <v>1.25</v>
      </c>
      <c r="P14" s="64">
        <f t="shared" si="3"/>
        <v>2.5</v>
      </c>
      <c r="Q14" s="63">
        <v>1.05</v>
      </c>
      <c r="R14" s="64">
        <f t="shared" si="4"/>
        <v>10.5</v>
      </c>
      <c r="S14" s="63">
        <v>0.88500000000000001</v>
      </c>
      <c r="T14" s="64">
        <f t="shared" si="5"/>
        <v>1770</v>
      </c>
      <c r="U14" s="65">
        <v>0.88500000000000001</v>
      </c>
      <c r="V14" s="66">
        <f t="shared" si="6"/>
        <v>8850</v>
      </c>
      <c r="W14" s="67"/>
    </row>
    <row r="15" spans="1:40" ht="19.5" thickBot="1" x14ac:dyDescent="0.35">
      <c r="J15" s="23" t="s">
        <v>17</v>
      </c>
      <c r="K15" s="23"/>
      <c r="L15" s="23"/>
      <c r="M15" s="23"/>
      <c r="N15" s="23"/>
      <c r="O15" s="23"/>
      <c r="R15" s="4">
        <f>SUM(R3:R14)</f>
        <v>41.884999999999998</v>
      </c>
      <c r="S15" s="4"/>
      <c r="T15" s="4">
        <f>SUM(T3:T14)</f>
        <v>4910.0600000000004</v>
      </c>
      <c r="V15" s="15">
        <f>SUM(V3:V14)</f>
        <v>24099.05</v>
      </c>
    </row>
    <row r="16" spans="1:40" ht="18.75" x14ac:dyDescent="0.3">
      <c r="J16" s="24" t="s">
        <v>18</v>
      </c>
      <c r="K16" s="24"/>
      <c r="L16" s="24"/>
      <c r="M16" s="24"/>
      <c r="N16" s="24"/>
      <c r="O16" s="24"/>
      <c r="P16" s="3">
        <f>SUM(P3:P14)</f>
        <v>9.4930000000000021</v>
      </c>
      <c r="R16" s="5">
        <f>R15/5</f>
        <v>8.3769999999999989</v>
      </c>
      <c r="S16" s="5"/>
      <c r="T16" s="5">
        <f>T15/1000</f>
        <v>4.9100600000000005</v>
      </c>
      <c r="V16" s="15">
        <f>V15/5000</f>
        <v>4.8198099999999995</v>
      </c>
    </row>
  </sheetData>
  <mergeCells count="6">
    <mergeCell ref="B9:B12"/>
    <mergeCell ref="V1:AN1"/>
    <mergeCell ref="J15:O15"/>
    <mergeCell ref="J16:O16"/>
    <mergeCell ref="A1:U1"/>
    <mergeCell ref="B3:B4"/>
  </mergeCells>
  <phoneticPr fontId="7" type="noConversion"/>
  <conditionalFormatting sqref="P16:T1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{70EE1023-228D-423C-ADF5-29102BB53C0F}</x14:id>
        </ext>
      </extLst>
    </cfRule>
  </conditionalFormatting>
  <conditionalFormatting sqref="J3:M1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1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{31993F18-4C5F-4176-9D23-BFACE9C28768}</x14:id>
        </ext>
      </extLst>
    </cfRule>
  </conditionalFormatting>
  <conditionalFormatting sqref="S3:T7 S9:T14 T8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{BC439CAB-0450-4930-B07F-0CD52FB2A12C}</x14:id>
        </ext>
      </extLst>
    </cfRule>
  </conditionalFormatting>
  <conditionalFormatting sqref="R3:R1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{EA6B6037-A035-49C7-B24F-FF6A26E8D0C5}</x14:id>
        </ext>
      </extLst>
    </cfRule>
  </conditionalFormatting>
  <conditionalFormatting sqref="V3:V1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{F1FD5986-FD79-481F-A5BF-69173A0ECE3D}</x14:id>
        </ext>
      </extLst>
    </cfRule>
  </conditionalFormatting>
  <hyperlinks>
    <hyperlink ref="N3" r:id="rId1" xr:uid="{560EB7E3-A016-4B65-A4D5-8E5B8B673EFE}"/>
    <hyperlink ref="N4" r:id="rId2" xr:uid="{63873161-15A7-4DEC-80E9-472EFE3CD2B7}"/>
    <hyperlink ref="N5" r:id="rId3" display="DigiKey" xr:uid="{A146E332-50CE-4C46-8402-69286B81BB9A}"/>
    <hyperlink ref="N6" r:id="rId4" xr:uid="{66BEB589-F751-4458-A300-6E0E9104A44A}"/>
    <hyperlink ref="N8" r:id="rId5" xr:uid="{1969214F-5610-4CFA-ADD4-E78EBE9700D7}"/>
    <hyperlink ref="N9" r:id="rId6" xr:uid="{CEE7056B-68FE-4A2E-A650-B7DEA6BFF594}"/>
    <hyperlink ref="N10" r:id="rId7" xr:uid="{CB743388-D1AE-4575-B36C-8A3E66F14E46}"/>
    <hyperlink ref="N11" r:id="rId8" xr:uid="{8820A7CE-2760-4A97-9FF1-81409FC5997C}"/>
    <hyperlink ref="N12" r:id="rId9" xr:uid="{E85C8C32-7E92-468C-AA11-08A898B5CA72}"/>
  </hyperlinks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1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EE1023-228D-423C-ADF5-29102BB53C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P16:T16</xm:sqref>
        </x14:conditionalFormatting>
        <x14:conditionalFormatting xmlns:xm="http://schemas.microsoft.com/office/excel/2006/main">
          <x14:cfRule type="dataBar" id="{31993F18-4C5F-4176-9D23-BFACE9C287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P3:P14</xm:sqref>
        </x14:conditionalFormatting>
        <x14:conditionalFormatting xmlns:xm="http://schemas.microsoft.com/office/excel/2006/main">
          <x14:cfRule type="dataBar" id="{BC439CAB-0450-4930-B07F-0CD52FB2A1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S3:T7 S9:T14 T8</xm:sqref>
        </x14:conditionalFormatting>
        <x14:conditionalFormatting xmlns:xm="http://schemas.microsoft.com/office/excel/2006/main">
          <x14:cfRule type="dataBar" id="{EA6B6037-A035-49C7-B24F-FF6A26E8D0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R3:R14</xm:sqref>
        </x14:conditionalFormatting>
        <x14:conditionalFormatting xmlns:xm="http://schemas.microsoft.com/office/excel/2006/main">
          <x14:cfRule type="dataBar" id="{F1FD5986-FD79-481F-A5BF-69173A0ECE3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V3:V14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SM_Bottom_Board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2021-07-08T08:22:22Z</dcterms:created>
  <dcterms:modified xsi:type="dcterms:W3CDTF">2021-07-19T14:45:42Z</dcterms:modified>
</cp:coreProperties>
</file>